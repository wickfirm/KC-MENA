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3_ncr:1_{49B2D5E9-8ABD-4802-BCBC-2CCEF6EC77FF}" xr6:coauthVersionLast="47" xr6:coauthVersionMax="47" xr10:uidLastSave="{00000000-0000-0000-0000-000000000000}"/>
  <bookViews>
    <workbookView xWindow="-120" yWindow="-120" windowWidth="38640" windowHeight="21120" xr2:uid="{00000000-000D-0000-FFFF-FFFF00000000}"/>
  </bookViews>
  <sheets>
    <sheet name="Section Audit" sheetId="1" r:id="rId1"/>
    <sheet name="Page SEO" sheetId="2" r:id="rId2"/>
    <sheet name="Dashboard" sheetId="3" r:id="rId3"/>
    <sheet name="Referenc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3" l="1"/>
  <c r="G20" i="3"/>
  <c r="F20" i="3"/>
  <c r="E20" i="3"/>
  <c r="D20" i="3"/>
  <c r="C20" i="3"/>
  <c r="I20" i="3" s="1"/>
  <c r="H19" i="3"/>
  <c r="G19" i="3"/>
  <c r="F19" i="3"/>
  <c r="E19" i="3"/>
  <c r="D19" i="3"/>
  <c r="C19" i="3"/>
  <c r="H18" i="3"/>
  <c r="G18" i="3"/>
  <c r="F18" i="3"/>
  <c r="E18" i="3"/>
  <c r="D18" i="3"/>
  <c r="C18" i="3"/>
  <c r="H17" i="3"/>
  <c r="G17" i="3"/>
  <c r="F17" i="3"/>
  <c r="E17" i="3"/>
  <c r="D17" i="3"/>
  <c r="C17" i="3"/>
  <c r="H16" i="3"/>
  <c r="G16" i="3"/>
  <c r="F16" i="3"/>
  <c r="E16" i="3"/>
  <c r="D16" i="3"/>
  <c r="C16" i="3"/>
  <c r="I16" i="3" s="1"/>
  <c r="H15" i="3"/>
  <c r="G15" i="3"/>
  <c r="F15" i="3"/>
  <c r="E15" i="3"/>
  <c r="D15" i="3"/>
  <c r="C15" i="3"/>
  <c r="H14" i="3"/>
  <c r="G14" i="3"/>
  <c r="F14" i="3"/>
  <c r="E14" i="3"/>
  <c r="D14" i="3"/>
  <c r="C14" i="3"/>
  <c r="I14" i="3" s="1"/>
  <c r="H13" i="3"/>
  <c r="G13" i="3"/>
  <c r="F13" i="3"/>
  <c r="E13" i="3"/>
  <c r="D13" i="3"/>
  <c r="C13" i="3"/>
  <c r="H12" i="3"/>
  <c r="G12" i="3"/>
  <c r="F12" i="3"/>
  <c r="E12" i="3"/>
  <c r="D12" i="3"/>
  <c r="C12" i="3"/>
  <c r="H11" i="3"/>
  <c r="G11" i="3"/>
  <c r="F11" i="3"/>
  <c r="E11" i="3"/>
  <c r="D11" i="3"/>
  <c r="C11" i="3"/>
  <c r="I11" i="3" s="1"/>
  <c r="H10" i="3"/>
  <c r="G10" i="3"/>
  <c r="F10" i="3"/>
  <c r="E10" i="3"/>
  <c r="D10" i="3"/>
  <c r="C10" i="3"/>
  <c r="H9" i="3"/>
  <c r="G9" i="3"/>
  <c r="F9" i="3"/>
  <c r="E9" i="3"/>
  <c r="D9" i="3"/>
  <c r="C9" i="3"/>
  <c r="I9" i="3" s="1"/>
  <c r="H8" i="3"/>
  <c r="G8" i="3"/>
  <c r="F8" i="3"/>
  <c r="E8" i="3"/>
  <c r="D8" i="3"/>
  <c r="C8" i="3"/>
  <c r="H7" i="3"/>
  <c r="G7" i="3"/>
  <c r="F7" i="3"/>
  <c r="E7" i="3"/>
  <c r="D7" i="3"/>
  <c r="C7" i="3"/>
  <c r="H6" i="3"/>
  <c r="G6" i="3"/>
  <c r="F6" i="3"/>
  <c r="E6" i="3"/>
  <c r="D6" i="3"/>
  <c r="C6" i="3"/>
  <c r="I6" i="3" s="1"/>
  <c r="H5" i="3"/>
  <c r="G5" i="3"/>
  <c r="F5" i="3"/>
  <c r="E5" i="3"/>
  <c r="D5" i="3"/>
  <c r="C5" i="3"/>
  <c r="I5" i="3" s="1"/>
  <c r="H4" i="3"/>
  <c r="G4" i="3"/>
  <c r="F4" i="3"/>
  <c r="E4" i="3"/>
  <c r="D4" i="3"/>
  <c r="C4" i="3"/>
  <c r="I4" i="3" s="1"/>
  <c r="H3" i="3"/>
  <c r="G3" i="3"/>
  <c r="F3" i="3"/>
  <c r="E3" i="3"/>
  <c r="D3" i="3"/>
  <c r="C3" i="3"/>
  <c r="I3" i="3" s="1"/>
  <c r="H2" i="3"/>
  <c r="G2" i="3"/>
  <c r="F2" i="3"/>
  <c r="E2" i="3"/>
  <c r="D2" i="3"/>
  <c r="C2" i="3"/>
  <c r="I12" i="3" l="1"/>
  <c r="I7" i="3"/>
  <c r="I2" i="3"/>
  <c r="I18" i="3"/>
  <c r="I19" i="3"/>
  <c r="I15" i="3"/>
  <c r="I17" i="3"/>
  <c r="I13" i="3"/>
  <c r="I8" i="3"/>
  <c r="I10" i="3"/>
</calcChain>
</file>

<file path=xl/sharedStrings.xml><?xml version="1.0" encoding="utf-8"?>
<sst xmlns="http://schemas.openxmlformats.org/spreadsheetml/2006/main" count="1531" uniqueCount="622">
  <si>
    <t>ID</t>
  </si>
  <si>
    <t>Site Tab</t>
  </si>
  <si>
    <t>Page</t>
  </si>
  <si>
    <t>File</t>
  </si>
  <si>
    <t>Section</t>
  </si>
  <si>
    <t>Type</t>
  </si>
  <si>
    <t>Current Content (from delivered site)</t>
  </si>
  <si>
    <t>Rewritten copy (short/medium only — long copy in Doc)</t>
  </si>
  <si>
    <t>Primary keyword</t>
  </si>
  <si>
    <t>Secondary keywords</t>
  </si>
  <si>
    <t>Intent</t>
  </si>
  <si>
    <t>AEO question(s)</t>
  </si>
  <si>
    <t>Status</t>
  </si>
  <si>
    <t>Client feedback</t>
  </si>
  <si>
    <t>Doc link</t>
  </si>
  <si>
    <t>Notes / Source</t>
  </si>
  <si>
    <t>GLB-01</t>
  </si>
  <si>
    <t>Global (all pages)</t>
  </si>
  <si>
    <t>Header &amp; Navigation</t>
  </si>
  <si>
    <t>src/components/site/SiteHeader.tsx (all pages)</t>
  </si>
  <si>
    <t>Nav</t>
  </si>
  <si>
    <t>Logo (links Home). Nav: About Us, Local Business, Global Business, News, Careers. Right: 'Contact Us' link (opens Contact Drawer) + mobile hamburger. Same header on every page.</t>
  </si>
  <si>
    <t>Not started</t>
  </si>
  <si>
    <t>00-globals.docx</t>
  </si>
  <si>
    <t/>
  </si>
  <si>
    <t>GLB-02</t>
  </si>
  <si>
    <t>Footer</t>
  </si>
  <si>
    <t>src/components/site/SiteFooter.tsx (all pages)</t>
  </si>
  <si>
    <t>Brand block: logo, copy 'Kasumigaseki MENA connects regional opportunity with the discipline, capital strength, and operating expertise of Kasumigaseki Capital.', address 'Dubai Hills Estate, Business Park 4, Office 304-305, Dubai, UAE', LinkedIn + Kasumigaseki Capital corporate site links.
Columns — Company: About Us, Careers, News, Contact Us. Local Business: Overview, Development, Investment &amp; Asset Management, Food &amp; Beverage. Global Business: Overview, Global Map (map.kasumigaseki.ae), Logistics (logiflag.com), Hotel Business (favhospitalitygroup.com), Healthcare (kc-welfare.co.jp). Media &amp; Resources: Parent IR, Kasumigaseki Capital news, Global Site.
Legal links + copyright.</t>
  </si>
  <si>
    <t>GLB-03</t>
  </si>
  <si>
    <t>Contact Drawer</t>
  </si>
  <si>
    <t>src/components/site/ContactDrawer.tsx (all pages)</t>
  </si>
  <si>
    <t>Form</t>
  </si>
  <si>
    <t>Eyebrow 'Get in Touch'; H2 'Contact Us'; intro 'Reach the Kasumigaseki MENA team, or visit one of our company locations.'
Locations: Dubai Office (Dubai Hills Estate, Business Park 4, Office 304-305); Sales Centre (Business Bay); Miami Location (Miami, Florida); Kasumigaseki Restaurant (Vida Emirates Hills).
Form: Full Name, Email, Message. Submit 'Send Enquiry'. Currently mailto: fallback via /js/site.js (contact_submissions table + Salesforce dual-write queued for Phase 3).</t>
  </si>
  <si>
    <t>FAQ-01</t>
  </si>
  <si>
    <t>FAQ</t>
  </si>
  <si>
    <t>src/app/(site)/faq/page.tsx (DB: faqs)</t>
  </si>
  <si>
    <t>Page meta</t>
  </si>
  <si>
    <t>Meta</t>
  </si>
  <si>
    <t>Meta description: Frequently asked questions about Kasumigaseki Capital MENA — our businesses, projects, and how to reach us.
Canonical URL: https://kasumigaseki.ae/faq/</t>
  </si>
  <si>
    <t>Meta description: Frequently asked questions about Kasumigaseki MENA — our businesses, Dubai projects, and how to reach the team.</t>
  </si>
  <si>
    <t>Drafted</t>
  </si>
  <si>
    <t>09-faq.docx</t>
  </si>
  <si>
    <t>FAQ-02</t>
  </si>
  <si>
    <t>HERO</t>
  </si>
  <si>
    <t>Hero</t>
  </si>
  <si>
    <t>Page title (H1): FAQ (hero band, background image quality2.webp).</t>
  </si>
  <si>
    <t>FAQ-03</t>
  </si>
  <si>
    <t>INTRO</t>
  </si>
  <si>
    <t>Body</t>
  </si>
  <si>
    <t>Heading (H2): Frequently Asked Questions.
Paragraph: Everything about Kasumigaseki MENA — our businesses, projects, and how to work with us.</t>
  </si>
  <si>
    <t>Frequently Asked Questions — clear answers about Kasumigaseki MENA's businesses, Dubai projects and contact routes: who we are, what we build, and how to reach the team.</t>
  </si>
  <si>
    <t>FAQ-04</t>
  </si>
  <si>
    <t>FAQ LIST</t>
  </si>
  <si>
    <t>Accordion: 8 Q&amp;A entries managed in /admin/faqs (DB: faqs, seeded from db/seed-faqs.sql):
1. What is Kasumigaseki MENA?
2. Where are you located?
3. What is your relationship with Kasumigaseki Capital?
4. Which sectors do you invest in?
5. Do you partner with external investors and developers?
6. Can I visit your projects or restaurant locations?
7. How do I apply for a job at Kasumigaseki MENA?
8. How can I get the latest company news?
Grouped by category; empty-state fallback shows info.dubai@kasumigaseki.co.jp.</t>
  </si>
  <si>
    <t>First-class CMS resource — AEO questions can become managed FAQ entries (FAQPage JSON-LD).</t>
  </si>
  <si>
    <t>HOM-01</t>
  </si>
  <si>
    <t>Home</t>
  </si>
  <si>
    <t>public/index.html</t>
  </si>
  <si>
    <t>Meta description: Kasumigaseki MENA is the regional subsidiary of Kasumigaseki Capital, headquartered in Tokyo, building across Development, Investment &amp; Asset Management, and Food &amp; Beverage.
Canonical URL: https://kasumigaseki.ae/</t>
  </si>
  <si>
    <t>Meta description: Kasumigaseki MENA is the Dubai-based arm of Tokyo-listed Kasumigaseki Capital — development, investment &amp; asset management, and food &amp; beverage.</t>
  </si>
  <si>
    <t>01-home.docx</t>
  </si>
  <si>
    <t>HOM-02</t>
  </si>
  <si>
    <t>Video: Hero / background video
Page title (H1): Turning Challenge into Value.
Paragraph: A regional development, investment, and operating platform across the GCC and beyond.
Text: Scroll</t>
  </si>
  <si>
    <t>Kasumigaseki MENA is the Dubai-based regional platform of Kasumigaseki Capital, a Tokyo Stock Exchange Prime-listed developer and investor. From development and investment to asset management and food &amp; beverage, we turn challenge into value across the GCC and beyond.</t>
  </si>
  <si>
    <t>What is Kasumigaseki MENA?</t>
  </si>
  <si>
    <t>HOM-03</t>
  </si>
  <si>
    <t>ABOUT + VIDEO + NUMBERS</t>
  </si>
  <si>
    <t>Kicker: About Kasumigaseki
Heading (H2): Kasumigaseki MENA is the regional subsidiary of Kasumigaseki Capital, headquartered in Tokyo, established to extend the group's development, investment, and operating capabilities across the GCC.
Stat: $5.17B — Global AUM
Stat: 1 — $2.33B
Stat: Logistics Assets Under Management — $190M
Stat: Overseas / Other — $2.30B
Stat: Hotels — $280M
Stat: Healthcare
Link: "As of February 28, 2026"
Link: Know More</t>
  </si>
  <si>
    <t>HOM-04</t>
  </si>
  <si>
    <t>WHAT WE DO</t>
  </si>
  <si>
    <t>Kicker: What we do
Heading (H2): Local businesses, built for the GCC.
Paragraph: A focused platform across Development, Investment &amp; Asset Management, and Food &amp; Beverage — each guided by the same standard of precision and long-term thinking.
Text: 01
Heading (H3): Development
Paragraph: Connecting land strategy, product creation, capital structuring, and sales execution across regional development opportunities.
Link: Learn more
Text: 02
Heading (H3): Investment &amp; Asset Management
Paragraph: Disciplined capital deployment and long-term stewardship, guided by the governance standards of a listed platform.
Link: Learn more
Text: 03
Heading (H3): Food &amp; Beverage
Paragraph: Operating businesses built for daily relevance — where hospitality discipline meets regional taste and community life.
Link: Learn more</t>
  </si>
  <si>
    <t>HOM-05</t>
  </si>
  <si>
    <t>LOCATIONS</t>
  </si>
  <si>
    <t>Kicker: Where we operate
Heading (H2): A growing global platform.
Paragraph: Regional capability in Dubai, backed by the global scale and governance of our Tokyo headquarters — with an expanding presence across new markets.
Text: Dubai
Image: Dubai skyline and Burj Khalifa
Text: Regional HQ
Text: Dubai, UAE
Paragraph: Dubai Hills Estate, Business Park 4, Office 304-305
Link: View on map ↗
Text: Tokyo
Image: Mount Fuji and Chureito Pagoda in Japan
Text: Global HQ
Text: Tokyo, Japan
Paragraph: 3-2-1 Kasumigaseki, Chiyoda City, Tokyo 100-0013
Link: View on map ↗
Text: Kuala Lumpur
Image: Kuala Lumpur skyline with the Petronas Twin Towers
Text: Regional Office
Text: Kuala Lumpur, Malaysia
Paragraph: Unit 60.03, Level 60, Exchange 106, TRX
Link: View on map ↗
Text: Miami
Image: Miami waterfront skyline
Text: Americas
Text: Miami, USA
Paragraph: Our gateway to opportunities across the Americas.
Link: View on map ↗</t>
  </si>
  <si>
    <t>HOM-06</t>
  </si>
  <si>
    <t>GLOBAL BUSINESSES</t>
  </si>
  <si>
    <t>Kicker: Global businesses
Heading (H2): Beyond the region, Kasumigaseki Capital operates established platforms worldwide.
Heading (H4): Logistics
Paragraph: Cold-chain facilities, flexible storage, and build-to-suit development across the network.
Text: LOGI FLAG
Text: COLD X NETWORK
Heading (H4): Hospitality
Paragraph: Trend, technology, finance, and design connected across group-stay, luxury, and culture-led brands.
Text: seven x seven
Text: FAV / FAV LUX
Heading (H4): Healthcare
Paragraph: Open-hospice and welfare facilities pairing 24/365 medical readiness with daily-life dignity.
Text: CLASWELL
Text: 24/365 Care</t>
  </si>
  <si>
    <t>HOM-07</t>
  </si>
  <si>
    <t>NEWS &amp; UPDATES</t>
  </si>
  <si>
    <t>Kicker: News &amp; Updates
Video: Hero / background video
Heading (H4): UAE Media Office
Paragraph: Kasumigaseki Capital Chairman, Hiroaki Ogawa meets His Highness Maktoum bin Mohammed.
Text: Media
Text: Kasumigaseki MENA
Heading (H4): Kasumigaseki Capital News
Paragraph: Official news and announcements from Kasumigaseki Capital's corporate platform.
Text: Official News
Text: Corporate
Heading (H4): Investor Relations Updates
Paragraph: Financial disclosures, presentations, and investor information from the parent company's IR page.
Text: IR
Text: Updates</t>
  </si>
  <si>
    <t>HOM-08</t>
  </si>
  <si>
    <t>REGISTER INTEREST / LEAD CAPTURE</t>
  </si>
  <si>
    <t>Kicker: Register your interest
Heading (H2): Tell us what you're looking for.
Paragraph: Share a few details and the right person from our team will be in touch — typically within one business day.
Form field: Full name
Form field: Email — placeholder: "name@company.com"
Form field: Phone
Form field: I'm interested in
Form field: Message
Button: Send enquiry
Paragraph: By submitting, you agree to be contacted about your enquiry. We never share your details.
Text: Thank you — your enquiry has been received. Our team will be in touch shortly.</t>
  </si>
  <si>
    <t>ABU-01</t>
  </si>
  <si>
    <t>About Us</t>
  </si>
  <si>
    <t>public/about-us/index.html</t>
  </si>
  <si>
    <t>Meta description: Kasumigaseki MENA is the regional subsidiary of Kasumigaseki Capital, headquartered in Tokyo, with a regional strategy across Development, Investment &amp; Asset Management, and Food &amp; Beverage.
Canonical URL: https://kasumigaseki.ae/about-us/</t>
  </si>
  <si>
    <t>Meta description: The GCC platform of Kasumigaseki Capital — the TSE Prime-listed developer founded in Tokyo in 2011 — its leadership, strategy and regional track record.</t>
  </si>
  <si>
    <t>02-about-us.docx</t>
  </si>
  <si>
    <t>ABU-02</t>
  </si>
  <si>
    <t>Page title (H1): About Us</t>
  </si>
  <si>
    <t>ABU-03</t>
  </si>
  <si>
    <t>INTRO + BUSINESS LINES</t>
  </si>
  <si>
    <t>Kicker: Company Overview
Paragraph: Kasumigaseki MENA is the regional subsidiary of Kasumigaseki Capital, headquartered in Tokyo, focused on Development, Investment &amp; Asset Management, and Food &amp; Beverage opportunities currently operating within the GCC.
Bold text: 3 Sectors
Stat: Business Sector
Bold text: 3+
Stat: Projects
Bold text: 60
Stat: Assets / Units
Bold text: 90
Stat: Number of Employees
Link: "As of February 28, 2026"
Text: 01
Text: Development
Paragraph: Development work that connects land strategy, product creation, project execution, and go-to-market planning.
Text: 02
Text: Investment &amp; Asset Management
Paragraph: Investment sourcing, underwriting, acquisition support, fund strategy, and asset management for regional opportunities.
Text: 03
Text: Food &amp; Beverage
Paragraph: Dining concepts shaped around Japanese craft, premium sourcing, operational detail, and destination-led guest experience.
Link: Know more</t>
  </si>
  <si>
    <t>Kasumigaseki MENA is the regional subsidiary of Kasumigaseki Capital Co., Ltd., a Tokyo-headquartered real estate developer founded in 2011 and listed on the Tokyo Stock Exchange Prime Market (securities code 3498). From Dubai, we extend that discipline across development, investment &amp; asset management, and food &amp; beverage.</t>
  </si>
  <si>
    <t>Who owns Kasumigaseki MENA?</t>
  </si>
  <si>
    <t>ABU-04</t>
  </si>
  <si>
    <t>MESSAGE FROM THE CHAIRMAN</t>
  </si>
  <si>
    <t>Text: Chairman portrait
Image: Mohammad Khalifa Majid Alabbar Alfalasi, Chairman of Kasumigaseki Capital MENA
Kicker: Message from the Chairman
Paragraph: “Our direction is clear: build enduring partnerships in the UAE and wider GCC, combine Japanese discipline with local insight, and hold every project to standards that last.”
Paragraph: Kasumigaseki MENA's future will be built on disciplined investment, rigorous execution, and a deep respect for the markets we serve. The UAE has shown itself to be a long-term platform for global capital, and our role is to translate that opportunity into projects and partnerships that endure.
Paragraph: As we move forward, our focus remains excellence in design, governance, delivery, and asset stewardship. We will continue to align with the philosophy of Kasumigaseki Capital while building a regional platform shaped by local knowledge, patient capital, and sustainable value creation.
Text: Mohammad Khalifa Majid Alabbar Alfalasi
Text: Chairman, Kasumigaseki Capital MENA</t>
  </si>
  <si>
    <t>ABU-05</t>
  </si>
  <si>
    <t>VISION + MISSION: dark band, two quotes</t>
  </si>
  <si>
    <t>Kicker: Our Vision
Paragraph: “To be the most trusted regional platform for turning ambition into lasting value.”
Kicker: Our Mission
Paragraph: “We are driven by a singular mission: to shape a future where economic growth and social impact go hand in hand.”</t>
  </si>
  <si>
    <t>ABU-06</t>
  </si>
  <si>
    <t>CORPORATE PHILOSOPHY + GUIDING PRINCIPLE: two-column split</t>
  </si>
  <si>
    <t>Kicker: Our Philosophy
Text: Guided by Kasumigaseki Capital
Paragraph: Our company follows the philosophy, values, and operational guidelines established by our mother company. We are committed to upholding these principles in every aspect of our business while maintaining the highest standards of integrity, quality, and sustainability.
Kicker: Guiding Principle
Text: Be Bold, Reliable and Swift
Paragraph: The standard we hold ourselves to in every decision, partnership, and delivery: decisive, accountable, and always aligned with long-term value creation.</t>
  </si>
  <si>
    <t>GBZ-01</t>
  </si>
  <si>
    <t>Global Businesses</t>
  </si>
  <si>
    <t>public/global-businesses/index.html</t>
  </si>
  <si>
    <t>Meta description: Explore Kasumigaseki Capital's global logistics, hotel business, and healthcare platforms.
Canonical URL: https://kasumigaseki.ae/global-businesses/</t>
  </si>
  <si>
    <t>Meta description: Kasumigaseki Capital's global platforms: LOGI FLAG logistics, FHG hotels, CLASWELL healthcare and overseas development across Japan, Dubai and the US.</t>
  </si>
  <si>
    <t>03-global-businesses.docx</t>
  </si>
  <si>
    <t>Title/H1 use singular 'Global Business'; nav label matches. Consistent but note for keyword choice.</t>
  </si>
  <si>
    <t>GBZ-02</t>
  </si>
  <si>
    <t>HERO — image first, text over it</t>
  </si>
  <si>
    <t>Page title (H1): Global Business</t>
  </si>
  <si>
    <t>GBZ-03</t>
  </si>
  <si>
    <t>TRACK RECORD NUMBERS</t>
  </si>
  <si>
    <t>Heading (H2): Creating value through a disciplined global platform.
Paragraph: Our project pipeline and assets under management span Logistics, Hotel Business, Healthcare, and overseas markets, each business held to the same standard of discipline and governance as our Tokyo-headquartered parent.
Text: $5.17B
Text: Total Project Value &amp; AUM
Text: 1
Text: 129
Text: Projects in Pipeline &amp; Under Management
Text: 1
Text: $2.33B
Text: Logistics
Text: 29 projects
Text: $2.30B
Text: Hotel Business
Text: 68 projects
Text: $0.28B
Text: Healthcare
Text: 17 projects
Text: $0.19B
Text: Overseas / Other
Text: 9 projects
Link: "As of February 28, 2026"</t>
  </si>
  <si>
    <t>Kasumigaseki Capital's pipeline and assets under management total US$5.17 billion across 129 projects: US$2.33 billion in logistics (29 projects), US$2.30 billion in hotels (68 projects), US$0.28 billion in healthcare (17), and US$0.19 billion in overseas and other businesses, as of February 28, 2026.</t>
  </si>
  <si>
    <t>What businesses does Kasumigaseki Capital operate?</t>
  </si>
  <si>
    <t>GBZ-04</t>
  </si>
  <si>
    <t>3 BUSINESSES GLOBALLY</t>
  </si>
  <si>
    <t>Kicker: Our global businesses
Heading (H2): Three businesses, one platform.
Paragraph: Beyond the region, Kasumigaseki Capital operates established, branded businesses across the following sectors.
Kicker: Logistics
Heading (H2): Cold, dry, and automated — built as one network.
Paragraph: LOGI FLAG and COLD X NETWORK combine dry, chilled, frozen, and automated supply-chain infrastructure across Japan.
Link: Visit website
Kicker: Hotel Business
Heading (H2): Five brands, one hospitality platform.
Paragraph: FAV Hospitality Group spans seven x seven, edit x seven, FAV, BASE LAYER HOTEL, and HOTEL FORK &amp; KNIFE.
Link: Visit website
Kicker: Healthcare
Heading (H2): Medically ready environments, built around dignity.
Paragraph: KC Welfare and the CLASWELL model develop medically ready environments with resident dignity at the center.
Link: Visit website</t>
  </si>
  <si>
    <t>Beyond the region, Kasumigaseki Capital operates three established platforms: LOGI FLAG logistics (dry, chilled, frozen and automated warehouses), FAV Hospitality Group hotels across five brands, and CLASWELL healthcare residences — plus overseas development in Dubai, the United States and Saudi Arabia.</t>
  </si>
  <si>
    <t>GBZ-05</t>
  </si>
  <si>
    <t>GLOBAL BUSINESS MAP CTA</t>
  </si>
  <si>
    <t>Kicker: Where We Operate
Heading (H2): Explore our global business map.
Paragraph: View Kasumigaseki Capital's business locations and project network through the interactive map.
Image: Tokyo, Japan
Text: Japan
Bold text: Tokyo
Paragraph: Tokyo, Japan
Link: View on map
Image: Dubai, United Arab Emirates
Text: United Arab Emirates
Bold text: Dubai
Paragraph: Dubai, United Arab Emirates
Link: View on map
Image: Kuala Lumpur, Malaysia
Text: Malaysia
Bold text: Kuala Lumpur
Paragraph: Kuala Lumpur, Malaysia
Link: View on map
Image: Miami, Florida
Text: United States
Bold text: Miami
Paragraph: Miami, Florida, USA
Link: View on map
Link: Explore Our Global Businesses</t>
  </si>
  <si>
    <t>GBZ-06</t>
  </si>
  <si>
    <t>IR REDIRECT — replaces Featured</t>
  </si>
  <si>
    <t>Kicker: Investors &amp; Media
Heading (H2): Investor Relations.
Paragraph: For financial disclosures, IR presentations, and the latest news from Kasumigaseki Capital, visit our parent company's official Investor Relations page.
Link: View Investor Relations</t>
  </si>
  <si>
    <t>LOB-01</t>
  </si>
  <si>
    <t>Local Business</t>
  </si>
  <si>
    <t>public/local-business/index.html</t>
  </si>
  <si>
    <t>Meta description: Kasumigaseki MENA's local business platform spans development, investment and asset management, and food and beverage across Dubai and the wider GCC.
Canonical URL: https://kasumigaseki.ae/local-business/</t>
  </si>
  <si>
    <t>Meta description: Kasumigaseki MENA's Dubai platform spans property development, investment &amp; asset management, and F&amp;B — extending Japanese discipline to the GCC.</t>
  </si>
  <si>
    <t>04-local-business.docx</t>
  </si>
  <si>
    <t>LOB-02</t>
  </si>
  <si>
    <t>Page title (H1): Local Business</t>
  </si>
  <si>
    <t>LOB-03</t>
  </si>
  <si>
    <t>LOCAL BUSINESS OVERVIEW</t>
  </si>
  <si>
    <t>Kicker: By The Numbers
Heading (H2): The regional portfolio is organized around three active business lines: development, investment and asset management, and food and beverage.
Stat: 3 — Active Local Business Lines
Stat: 14,000 — Sales Experience Center (sq ft)
Stat: 203,575 — Gross Sellable Area (GSA, sq ft)
Stat: 452,389 — Development Built-Up Area (sq ft)
Link: "As of February 28, 2026"</t>
  </si>
  <si>
    <t>Kasumigaseki MENA in Dubai — three active business lines on one platform.</t>
  </si>
  <si>
    <t>What does Kasumigaseki MENA do in Dubai?</t>
  </si>
  <si>
    <t>LOB-04</t>
  </si>
  <si>
    <t>KASUMIGASEKI PROPERTIES DEVELOPMENT</t>
  </si>
  <si>
    <t>Kicker: Development
Heading (H2): We create value long before the first brick is laid.
Paragraph: Sourcing land, refining the product, and structuring capital early — so margins are protected before the market starts pricing the project. Meydan Horizon is the first branded residential development, with 452,389 sq ft of built-up area and 203,575 sq ft of gross sellable area.
Link: Know More</t>
  </si>
  <si>
    <t>LOB-05</t>
  </si>
  <si>
    <t>INVESTMENT &amp; ASSET MANAGEMENT</t>
  </si>
  <si>
    <t>Kicker: Investment &amp; Asset Management
Heading (H2): This is not a listings business. It is an investment business.
Paragraph: A Dubai portfolio spanning Downtown, Dubai Hills, Hartland, and Palm Jumeirah across 60 units, built on disciplined underwriting, active asset management, and selective market access.
Link: Know More</t>
  </si>
  <si>
    <t>LOB-06</t>
  </si>
  <si>
    <t>FOOD &amp; BEVERAGE</t>
  </si>
  <si>
    <t>Kicker: Food &amp; Beverage
Heading (H2): Authentic Japanese dining, without diluting the craft.
Paragraph: Led by chef Keigo Abe, Kasumigaseki Restaurant brings Neo-Japanese cuisine, charcoal fire, and wabi-sabi design to Vida Emirates Hills — built for intimate dinners and destination-led dining.
Link: Know More</t>
  </si>
  <si>
    <t>LOB-07</t>
  </si>
  <si>
    <t>CONTACT</t>
  </si>
  <si>
    <t>Kicker: Contact Us
Heading (H2): Let our team get back to you.
Heading (H3): Dubai Office
Paragraph: Dubai Hills EstateBusiness Park 4, Dubai, UAEOffice 304-305
Link: Open in Maps ↗
Heading (H3): Get in Touch
Paragraph: Reach the Kasumigaseki MENA team for corporate, investor, and business enquiries.
Paragraph: +971 43 88 3099
Paragraph: info.dubai@kasumigaseki.co.jp
Form field: Full Name
Form field: Email
Form field: Phone
Form field: Enquiry Type — placeholder: "Development, Investment, F&amp;B..."
Form field: Message
Button: Send Enquiry
Text: Thank you — your enquiry has been noted. Our team will be in touch shortly.</t>
  </si>
  <si>
    <t>RE-01</t>
  </si>
  <si>
    <t>Real Estate</t>
  </si>
  <si>
    <t>public/real-estate/index.html</t>
  </si>
  <si>
    <t>Meta description: Kasumigaseki MENA's investment and asset management business is built around disciplined underwriting, selective market access, and long-term value creation.
Canonical URL: https://kasumigaseki.ae/real-estate/</t>
  </si>
  <si>
    <t>Meta description: Real estate investment and asset management in Dubai — a US$304M portfolio across 60 units in Downtown, Dubai Hills, Hartland and Palm Jumeirah.</t>
  </si>
  <si>
    <t>05-real-estate.docx</t>
  </si>
  <si>
    <t>Title/H1 say 'Investment &amp; Asset Management' while URL is /real-estate/ — decide canonical phrasing.</t>
  </si>
  <si>
    <t>RE-02</t>
  </si>
  <si>
    <t>Page title (H1): Investment &amp; Asset Management</t>
  </si>
  <si>
    <t>RE-03</t>
  </si>
  <si>
    <t>INVESTMENT NUMBERS</t>
  </si>
  <si>
    <t>Kicker: By The Numbers
Heading (H2): A regional investment and asset management business built around disciplined underwriting, selective market access, and long-term value creation.
Stat: 4 — Key Dubai Districts
Stat: $156.5M — Active Assets
Stat: 60 — Investment Exposure
Stat: 26 + 3 — Units + Plots
Link: "As of February 28, 2026"</t>
  </si>
  <si>
    <t>Check stat pairing vs deck: US$304.4M total investment across 60 units; 26 units + 3 plots held valued US$156.5M.</t>
  </si>
  <si>
    <t>RE-04</t>
  </si>
  <si>
    <t>INVESTMENT BUSINESS</t>
  </si>
  <si>
    <t>Kicker: Investment &amp; Asset Management
Heading (H2): This is not a listings business. It is an investment business.
Paragraph: Kasumigaseki MENA identifies inefficiencies in product, location, pricing, and timing. The current Dubai portfolio spans high-performing districts including Downtown, Dubai Hills, Hartland, and Palm Jumeirah.
Link: Investment enquiries</t>
  </si>
  <si>
    <t>Kasumigaseki MENA's investment and asset management business has deployed US$304.4 million across 60 residential units in Dubai's strongest districts — Downtown, Dubai Hills, Hartland and Palm Jumeirah — with 26 units and three plots actively held as of February 28, 2026. We identify inefficiencies in product, location and timing, and underwrite for the long term.</t>
  </si>
  <si>
    <t>Where does Kasumigaseki MENA invest in Dubai?</t>
  </si>
  <si>
    <t>RE-05</t>
  </si>
  <si>
    <t>WHY DUBAI</t>
  </si>
  <si>
    <t>Kicker: Why Dubai, Why Now
Heading (H2): The thesis is built on growth, liquidity, and international relevance.
Paragraph: The long-term market case is supported by continued population growth, infrastructure expansion, Dubai's 2040 urban master plan, and globally mobile investors seeking security, connectivity, and a tax-efficient base.</t>
  </si>
  <si>
    <t>RE-06</t>
  </si>
  <si>
    <t>PLATFORM ROLE</t>
  </si>
  <si>
    <t>Kicker: Platform Role
Heading (H2): The proposition is built around access, discipline, and market logic.
Paragraph: The business supports more than acquisition: it covers sourcing, underwriting, financial modeling, transaction support, asset strategy after closing, repositioning, leasing logic, resale preparation, and development planning.
Link: Contact the team</t>
  </si>
  <si>
    <t>RE-07</t>
  </si>
  <si>
    <t>Kicker: Contact Us
Heading (H2): Let our team get back to you.
Heading (H3): Dubai Office
Paragraph: Dubai Hills EstateBusiness Park 4, Dubai, UAEOffice 304-305
Link: Open in Maps ↗
Heading (H3): Get in Touch
Paragraph: Reach the Kasumigaseki MENA team for corporate, investor, and business enquiries.
Paragraph: +971 43 88 3099
Paragraph: info.dubai@kasumigaseki.co.jp
Form field: Full Name
Form field: Email
Form field: Phone
Form field: Enquiry Type — placeholder: "Development, Investment, F&amp;B..."
Form field: Message
Button: Send Enquiry
Stat: Thank you — your enquiry has been noted. Our team will be in touch shortly.</t>
  </si>
  <si>
    <t>RED-01</t>
  </si>
  <si>
    <t>Real Estate Development</t>
  </si>
  <si>
    <t>public/real-estate-development/index.html</t>
  </si>
  <si>
    <t>Meta description: Kasumigaseki MENA's development business connects land strategy, product creation, capital structuring, and sales execution across Dubai and the wider GCC.
Canonical URL: https://kasumigaseki.ae/real-estate-development/</t>
  </si>
  <si>
    <t>Meta description: Dubai property development by Kasumigaseki MENA — land strategy, product creation, capital structuring and sales, from Meydan Horizon to Emerald Hills.</t>
  </si>
  <si>
    <t>06-real-estate-development.docx</t>
  </si>
  <si>
    <t>RED-02</t>
  </si>
  <si>
    <t>Page title (H1): Development</t>
  </si>
  <si>
    <t>RED-03</t>
  </si>
  <si>
    <t>DEVELOPMENT NUMBERS</t>
  </si>
  <si>
    <t>Kicker: By The Numbers
Heading (H2): A development business that connects land strategy, product creation, capital structuring, and sales execution across Dubai and the wider GCC.
Stat: 14,000 — Sales Experience Center (sq ft)
Stat: 20–30 — Staff Capacity
Stat: 452,389 — Built-Up Area (sq ft)
Stat: 203,575 — Gross Sellable Area (GSA, sq ft)
Link: "As of February 28, 2026"</t>
  </si>
  <si>
    <t>RED-04</t>
  </si>
  <si>
    <t>DEVELOPMENT STRATEGY</t>
  </si>
  <si>
    <t>Kicker: Development Strategy
Heading (H2): Development starts with strategy, but commercialization has to be built in from day one.
Paragraph: Kasumigaseki's model starts by creating value before vertical construction begins: sourcing land, refining the product, shaping the planning strategy, and setting the capital roadmap early. That is how margins are protected before the market starts pricing the project.
Link: Discuss development</t>
  </si>
  <si>
    <t>RED-05</t>
  </si>
  <si>
    <t>DEVELOPMENT PROCESS</t>
  </si>
  <si>
    <t>Kicker: Development Process
Heading (H2): The model moves from land value to development, launch, and stabilized exit with a clear capital roadmap.
Paragraph: The GCC model expands into project-specific SPEs and JVs, including cooperation with Daito Trust Construction, so Kasumigaseki can control product quality, sales, and execution deeper into the cycle.</t>
  </si>
  <si>
    <t>RED-06</t>
  </si>
  <si>
    <t>MEYDAN HORIZON</t>
  </si>
  <si>
    <t>Kicker: Meydan Horizon
Heading (H2): Sales execution and customer experience are built into the development model.
Paragraph: Meydan Horizon is the first branded residential development, planned as a landmark mixed-use project with 452,389 sq ft of built-up area on a 28,273 sq ft plot and 203,575 sq ft of gross sellable area. The Business Bay sales center adds a dedicated launch layer with 14,000 sq ft of client, meeting, cafe, and backend workspace for 20 to 30 staff.
Link: Contact the team</t>
  </si>
  <si>
    <t>Meydan Horizon is Kasumigaseki MENA's first branded residential development: 452,389 sq ft of built-up area opposite Ras Al Khor Wildlife Sanctuary, offering elegantly designed one- to three-bedroom luxury residences with direct access to Dubai's core districts.</t>
  </si>
  <si>
    <t>What is Meydan Horizon?</t>
  </si>
  <si>
    <t>RED-07</t>
  </si>
  <si>
    <t>FNB-01</t>
  </si>
  <si>
    <t>F&amp;B</t>
  </si>
  <si>
    <t>public/f-and-b/index.html</t>
  </si>
  <si>
    <t>Meta description: Kasumigaseki MENA's Food &amp; Beverage business brings Tokyo-rooted Neo-Japanese cuisine, charcoal fire, premium ingredients, and precise service design to Dubai.
Canonical URL: https://kasumigaseki.ae/f-and-b/</t>
  </si>
  <si>
    <t>Meta description: Tokyo-rooted Neo-Japanese dining in Dubai: charcoal fire, premium ingredients and precise service from the Kasumigaseki hospitality family.</t>
  </si>
  <si>
    <t>07-fnb.docx</t>
  </si>
  <si>
    <t>FNB-02</t>
  </si>
  <si>
    <t>Page title (H1): Food &amp; Beverage</t>
  </si>
  <si>
    <t>FNB-03</t>
  </si>
  <si>
    <t>F&amp;B SNAPSHOT</t>
  </si>
  <si>
    <t>Kicker: Business Snapshot
Heading (H2): A Tokyo-rooted dining concept in Dubai built around Neo-Japanese cuisine, charcoal fire, premium ingredients from Japan, and hospitality designed to leave a mark.
Stat: Vida — Emirates Hills
Stat: Neo — Japanese Cuisine
Stat: Charcoal — Fire-Led Menu
Stat: Keigo Abe — Chef-Led Concept
Link: "As of February 28, 2026"</t>
  </si>
  <si>
    <t>FNB-04</t>
  </si>
  <si>
    <t>F&amp;B BUSINESS</t>
  </si>
  <si>
    <t>Kicker: Food &amp; Beverage
Heading (H2): Authentic Japanese dining, translated for Dubai without diluting the craft.
Paragraph: Kasumigaseki Restaurant is positioned as a Japanese dining experience brought from Tokyo to a global audience. The concept blends disciplined technique with a contemporary expression, giving Dubai a restaurant that feels both premium and current.
Link: Vida Emirates Hills</t>
  </si>
  <si>
    <t>Kasumigaseki Restaurant, led by chef Keigo Abe, brings Tokyo-rooted Neo-Japanese cuisine to Vida Emirates Hills: a charcoal fire-led menu, premium sourcing, and service design shaped by the group's hospitality platform — authentic Japanese dining translated for Dubai without dilution.</t>
  </si>
  <si>
    <t>What kind of restaurant is Kasumigaseki?</t>
  </si>
  <si>
    <t>FNB-05</t>
  </si>
  <si>
    <t>CHEF AND MENU</t>
  </si>
  <si>
    <t>Kicker: Chef &amp; Menu
Heading (H2): The kitchen is led by chef Keigo Abe.
Paragraph: With Michelin-selected recognition in Tokyo, the menu moves across seasonal ingredients, charcoal-fired dishes, omakase-inspired moments, and plates designed for both discovery and repeat visits.
Link: F&amp;B enquiries</t>
  </si>
  <si>
    <t>FNB-06</t>
  </si>
  <si>
    <t>DUBAI POSITIONING</t>
  </si>
  <si>
    <t>Kicker: Dubai Positioning
Heading (H2): The concept wins because food, room, and service are all aligned.
Paragraph: The Food &amp; Beverage business is built around craft, atmosphere, and memorability: credible technique, luxury without noise, and a setting designed for destination dining and repeat business.
Link: Contact the team</t>
  </si>
  <si>
    <t>FNB-07</t>
  </si>
  <si>
    <t>NWS-01</t>
  </si>
  <si>
    <t>News</t>
  </si>
  <si>
    <t>src/app/(site)/news/page.tsx (DB: news_posts)</t>
  </si>
  <si>
    <t>Meta description: Latest local and international news of Kasumigaseki MENA and Kasumigaseki Capital.
Canonical URL: https://kasumigaseki.ae/news/</t>
  </si>
  <si>
    <t>Meta description: Latest news from Kasumigaseki MENA and Kasumigaseki Capital — projects, partnerships and market commentary across the GCC and Japan.</t>
  </si>
  <si>
    <t>08-news.docx</t>
  </si>
  <si>
    <t>NWS-02</t>
  </si>
  <si>
    <t>Page title (H1): News</t>
  </si>
  <si>
    <t>NWS-03</t>
  </si>
  <si>
    <t>Heading (H2): Latest News
Paragraph: Local and international news of Kasumigaseki, including external coverage and official updates from Kasumigaseki Capital.
Kicker: Featured Video
Heading (H3): Coming Soon
Paragraph: A dedicated space for future video announcements, leadership interviews, and project updates from Kasumigaseki MENA.
Link: Kasumigaseki Capital News
Link: Investor Relations Updates
Link: Kasumigaseki Capital Global Site</t>
  </si>
  <si>
    <t>Local and international news of Kasumigaseki MENA and Kasumigaseki Capital — project milestones, partnerships and market commentary across the GCC and Japan, with investor updates from Tokyo.</t>
  </si>
  <si>
    <t>NWS-04</t>
  </si>
  <si>
    <t>DISCLAIMER</t>
  </si>
  <si>
    <t>Heading (H3): Disclaimer
Paragraph: The content above and in the linked materials is provided for general informational purposes only and does not constitute investment, legal, or tax advice. It should not be relied upon as the basis for any investment decision and does not represent an offer of advisory services or an offer to invest in any product, vehicle, or asset class. Any projections, estimates, forecasts, targets, or opinions expressed are subject to change without notice and may differ from views expressed by others. Certain information may be drawn from third-party sources; Kasumigaseki Capital has not independently verified such information and makes no representation as to its accuracy or completeness.</t>
  </si>
  <si>
    <t>NWS-ART</t>
  </si>
  <si>
    <t>News article (template)</t>
  </si>
  <si>
    <t>src/app/(site)/news/[slug]/page.tsx (DB: news_posts)</t>
  </si>
  <si>
    <t>Article template (/news/[slug])</t>
  </si>
  <si>
    <t>Template</t>
  </si>
  <si>
    <t>Per-post fields: title, slug, category, hero image, body, published date — managed in /admin/news. Rewrites here define the standing article structure (lede, subheads, CTA).</t>
  </si>
  <si>
    <t>CAR-01</t>
  </si>
  <si>
    <t>Careers</t>
  </si>
  <si>
    <t>public/careers/index.html</t>
  </si>
  <si>
    <t>Meta description: Share your profile with Kasumigaseki MENA for careers across development, investment, asset management, and food and beverage.
Canonical URL: https://kasumigaseki.ae/careers/
Page title (H1): Careers</t>
  </si>
  <si>
    <t>Meta description: Careers at Kasumigaseki MENA in Dubai — build across development, investment, asset management and food &amp; beverage.</t>
  </si>
  <si>
    <t>10-careers.docx</t>
  </si>
  <si>
    <t>Title tag brands 'Kasumigaseki Capital' (not MENA).</t>
  </si>
  <si>
    <t>CAR-02</t>
  </si>
  <si>
    <t>APPLICATION FORM</t>
  </si>
  <si>
    <t>Heading (H3): Application Form
Heading (H2): Tell us where you'd fit.
Paragraph: Complete the form below and a member of our team will be in touch using the details you provide.
Text: Dubai Hills Estate Business Park 4, Office 304-305 Dubai, UAE
Bold text: Dubai Office
Text: Business Bay Dubai, UAE
Bold text: Sales Centre
Form field: First Name *
Form field: Last Name *
Form field: Email Address *
Form field: Phone Number
Form field: Business *
Form field: Preferred Market
Form field: Position Applying For *
Form field: Upload CV / Resume
Form field: Message *
Form field: I consent to being contacted by Kasumigaseki regarding this application.
Button: Submit Application
Text: Thank you — your application has been received. Our team will be in touch shortly.</t>
  </si>
  <si>
    <t>Complete the form below and a member of our team will be in touch. Kasumigaseki MENA's Dubai team is 90 people strong and growing across development, investment &amp; asset management, and food &amp; beverage — share your profile and tell us where you'd fit.</t>
  </si>
  <si>
    <t>How do I apply for a job at Kasumigaseki MENA?</t>
  </si>
  <si>
    <t>CON-01</t>
  </si>
  <si>
    <t>Contact Us</t>
  </si>
  <si>
    <t>public/contact-us/index.html</t>
  </si>
  <si>
    <t>Meta description: Contact Kasumigaseki MENA in Dubai for corporate, investor, partnership, and business enquiries.
Canonical URL: https://kasumigaseki.ae/contact-us/
Page title (H1): Contact Us</t>
  </si>
  <si>
    <t>Meta description: Contact Kasumigaseki MENA — Dubai Hills Estate office, Business Bay sales centre, and enquiry routing for corporate, investor and partnership matters.</t>
  </si>
  <si>
    <t>11-contact-us.docx</t>
  </si>
  <si>
    <t>CON-02</t>
  </si>
  <si>
    <t>COMPANY LOCATIONS</t>
  </si>
  <si>
    <t>Heading (H3): Dubai Office
Paragraph: Dubai Hills EstateBusiness Park 4, Office 304-305Dubai, UAE
Link: Get Directions ↗
Heading (H3): Sales Centre
Paragraph: Business BayDubai, UAE
Link: Get Directions ↗
Heading (H3): Miami Location
Paragraph: Miami, FloridaUnited States
Link: Get Directions ↗
Heading (H3): Kasumigaseki Restaurant
Paragraph: Vida Emirates HillsDubai, UAE
Link: Get Directions ↗</t>
  </si>
  <si>
    <t>CON-03</t>
  </si>
  <si>
    <t>GENERAL CONTACT FORM</t>
  </si>
  <si>
    <t>Kicker: Enquiry Form
Heading (H2): Tell us what you need.
Paragraph: Complete the form and a member of our team will respond using the details you provide.
Text: Prefer to reach us directly?
Link: +971 43 88 3099
Link: info.dubai@kasumigaseki.co.jp
Form field: Full Name
Form field: Email
Form field: Phone Number
Form field: Subject
Form field: Message
Button: Send Enquiry
Text: Thank you — your enquiry has been noted. Our team will be in touch shortly.</t>
  </si>
  <si>
    <t>Complete the form and a member of our team will be in touch. Corporate, investor, partnership and business enquiries are handled from our Dubai Hills Estate office (Business Park 4, Office 304-305); development and sales enquiries are served by the Business Bay sales centre.</t>
  </si>
  <si>
    <t>How do I contact Kasumigaseki MENA?</t>
  </si>
  <si>
    <t>PRC-01</t>
  </si>
  <si>
    <t>Privacy Policy</t>
  </si>
  <si>
    <t>src/app/(site)/privacy-policy/page.tsx (DB: pages)</t>
  </si>
  <si>
    <t>Meta description: Privacy policy for Kasumigaseki MENA website visitors and enquiry submissions.
Canonical URL: https://kasumigaseki.ae/privacy-policy/
Kicker: Legal
Page title (H1): Privacy Policy
Text: August 10, 2026 Kasumigaseki Capital MENA Dubai, United Arab Emirates
Bold text: Last updated</t>
  </si>
  <si>
    <t>Meta description: How Kasumigaseki MENA collects, uses, stores and protects personal data — on this website and in enquiry submissions.</t>
  </si>
  <si>
    <t>12-legal.docx</t>
  </si>
  <si>
    <t>PRC-02</t>
  </si>
  <si>
    <t>Overview</t>
  </si>
  <si>
    <t>Heading (H2): Overview
Paragraph: Kasumigaseki MENA respects the privacy of website visitors, business contacts, candidates, prospective investors, suppliers, restaurant guests, and other individuals who interact with this website or contact us through the details provided on it.
Paragraph: This policy explains the categories of information we may collect, how we use it, when it may be shared, and the choices available to users.</t>
  </si>
  <si>
    <t>PRC-03</t>
  </si>
  <si>
    <t>Who we are</t>
  </si>
  <si>
    <t>Heading (H2): Who we are
Paragraph: Kasumigaseki MENA is the regional subsidiary of Kasumigaseki Capital Co., Ltd., headquartered in Tokyo. For privacy enquiries relating to this website, contact info.dubai@kasumigaseki.co.jp.</t>
  </si>
  <si>
    <t>PRC-04</t>
  </si>
  <si>
    <t>Information we collect</t>
  </si>
  <si>
    <t>Heading (H2): Information we collect
Paragraph: We may collect information that you voluntarily provide, including your name, email address, telephone number, company, role, enquiry details, employment information, preferred location, restaurant or meeting request details, and any message or attachment you submit by email or through website forms.
Paragraph: We may also collect technical and usage information, such as IP address, browser type, device information, pages visited, referring URLs, approximate location inferred from technical data, consent choices, and date and time of access.</t>
  </si>
  <si>
    <t>PRC-05</t>
  </si>
  <si>
    <t>How we use information</t>
  </si>
  <si>
    <t>Heading (H2): How we use information
Paragraph: We may use information to respond to enquiries, manage business relationships, consider investment or partnership opportunities, handle recruitment and career communications, coordinate visits or meetings, provide requested information, maintain website security, understand website usage, improve content, and meet legal, regulatory, compliance, accounting, or governance requirements.</t>
  </si>
  <si>
    <t>PRC-06</t>
  </si>
  <si>
    <t>Legal bases and consent</t>
  </si>
  <si>
    <t>Heading (H2): Legal bases and consent
Paragraph: Where applicable law requires a legal basis, we process personal information based on consent, legitimate business interests, steps taken at your request before entering into an arrangement, performance of a contract, compliance with legal obligations, or protection of legal rights and security.
Paragraph: For non-essential cookies or usage measurement, we rely on the cookie and usage consent choices presented on this website where required.</t>
  </si>
  <si>
    <t>PRC-07</t>
  </si>
  <si>
    <t>Sharing information</t>
  </si>
  <si>
    <t>Heading (H2): Sharing information
Paragraph: We may share information with Kasumigaseki Capital group companies, affiliates, professional advisers, service providers, hosting providers, IT support, analytics or media providers, recruitment support providers, and relevant authorities where needed for the purposes described in this policy.
Paragraph: We do not sell personal information.</t>
  </si>
  <si>
    <t>PRC-08</t>
  </si>
  <si>
    <t>International transfers</t>
  </si>
  <si>
    <t>Heading (H2): International transfers
Paragraph: Because Kasumigaseki MENA operates as part of an international group, information may be accessed or processed in the United Arab Emirates, Japan, the United States, Malaysia, or other jurisdictions where group companies, service providers, or partners operate. We take reasonable steps to protect information when it is transferred or accessed internationally.</t>
  </si>
  <si>
    <t>PRC-09</t>
  </si>
  <si>
    <t>Retention</t>
  </si>
  <si>
    <t>Heading (H2): Retention
Paragraph: We retain information only for as long as reasonably necessary for the purpose for which it was collected, including responding to enquiries, managing relationships, maintaining records, resolving disputes, complying with legal obligations, and supporting internal governance. Retention periods may vary depending on the type of information and applicable requirements.</t>
  </si>
  <si>
    <t>PRC-10</t>
  </si>
  <si>
    <t>Cookies and usage data</t>
  </si>
  <si>
    <t>Heading (H2): Cookies and usage data
Paragraph: This website may use cookies, local storage, server logs, embedded media, maps, fonts, and similar technologies. Details are available in our Cookie Policy. You can manage consent through the cookie banner or the cookie settings control on the Cookie Policy page.</t>
  </si>
  <si>
    <t>PRC-11</t>
  </si>
  <si>
    <t>Your rights and choices</t>
  </si>
  <si>
    <t>Heading (H2): Your rights and choices
Paragraph: Depending on your jurisdiction, you may have rights to request access, correction, deletion, restriction, objection, portability, withdrawal of consent, or information about how your personal data is used. We may need to verify your identity before responding to a request.
Paragraph: Requests may be sent to info.dubai@kasumigaseki.co.jp. We will respond as reasonably practicable and in accordance with applicable law.</t>
  </si>
  <si>
    <t>PRC-12</t>
  </si>
  <si>
    <t>Security</t>
  </si>
  <si>
    <t>Heading (H2): Security
Paragraph: We use reasonable administrative, technical, and organizational measures to protect information. No online transmission, website, email system, or storage method can be guaranteed as completely secure.</t>
  </si>
  <si>
    <t>PRC-13</t>
  </si>
  <si>
    <t>Children</t>
  </si>
  <si>
    <t>Heading (H2): Children
Paragraph: This website is not directed to children and is intended for business, investor, media, candidate, and general corporate audiences.</t>
  </si>
  <si>
    <t>PRC-14</t>
  </si>
  <si>
    <t>Updates</t>
  </si>
  <si>
    <t>Heading (H2): Updates
Paragraph: We may update this policy as our website, services, or legal requirements change. The latest version will be posted on this page.</t>
  </si>
  <si>
    <t>TRM-01</t>
  </si>
  <si>
    <t>Terms &amp; Conditions</t>
  </si>
  <si>
    <t>src/app/(site)/terms-and-conditions/page.tsx (DB: pages)</t>
  </si>
  <si>
    <t>Meta description: Terms and conditions for using the Kasumigaseki MENA website.
Canonical URL: https://kasumigaseki.ae/terms-and-conditions/
Kicker: Legal
Page title (H1): Terms &amp; Conditions
Text: August 10, 2026 Kasumigaseki Capital MENA Dubai, United Arab Emirates
Bold text: Last updated</t>
  </si>
  <si>
    <t>Meta description: The terms and conditions that govern use of the Kasumigaseki MENA website, including limitations of liability and intellectual property.</t>
  </si>
  <si>
    <t>TRM-02</t>
  </si>
  <si>
    <t>Acceptance of these terms</t>
  </si>
  <si>
    <t>Heading (H2): Acceptance of these terms
Paragraph: These Terms &amp; Conditions govern access to and use of the Kasumigaseki MENA website. By browsing this website, submitting an enquiry, using linked resources, or continuing after a cookie or usage notice is displayed, you agree to use the website lawfully and in accordance with these terms.
Paragraph: If you do not agree with these terms, please stop using this website.</t>
  </si>
  <si>
    <t>TRM-03</t>
  </si>
  <si>
    <t>About this website</t>
  </si>
  <si>
    <t>Heading (H2): About this website
Paragraph: This website provides general corporate information about Kasumigaseki MENA, the regional subsidiary of Kasumigaseki Capital Co., Ltd., headquartered in Tokyo. It may include information about business activities, projects, locations, investment themes, group entities, news, and external resources.
Paragraph: Website content is provided for general information only and may be changed, suspended, corrected, or removed at any time without prior notice.</t>
  </si>
  <si>
    <t>TRM-04</t>
  </si>
  <si>
    <t>No offer, advice, or recommendation</t>
  </si>
  <si>
    <t>Heading (H2): No offer, advice, or recommendation
Paragraph: Nothing on this website is intended to constitute an offer, solicitation, invitation, recommendation, commitment, or advice relating to any securities, fund, investment product, financial instrument, property transaction, employment opportunity, restaurant booking, or other service.
Paragraph: Users should make their own independent assessments and obtain professional advice before making decisions based on information available through this website.</t>
  </si>
  <si>
    <t>TRM-05</t>
  </si>
  <si>
    <t>Forward-looking information</t>
  </si>
  <si>
    <t>Heading (H2): Forward-looking information
Paragraph: Any statements about future plans, project timelines, market conditions, expected performance, strategy, or business outlook are based on information available at the time of publication and are subject to risks, assumptions, and uncertainties. Actual outcomes may differ materially.</t>
  </si>
  <si>
    <t>TRM-06</t>
  </si>
  <si>
    <t>Permitted use</t>
  </si>
  <si>
    <t>Heading (H2): Permitted use
Paragraph: You may access and view this website for legitimate personal, informational, or business reference purposes. You must not misuse the website, interfere with its operation, attempt unauthorized access, introduce malicious code, scrape content at scale, impersonate another person, or use the website in a way that may damage Kasumigaseki MENA, its affiliates, partners, or users.</t>
  </si>
  <si>
    <t>TRM-07</t>
  </si>
  <si>
    <t>Intellectual property and asset usage</t>
  </si>
  <si>
    <t>Heading (H2): Intellectual property and asset usage
Paragraph: All names, logos, marks, photographs, videos, graphics, text, page layouts, and other materials on this website are owned by or licensed to Kasumigaseki MENA, Kasumigaseki Capital group companies, or relevant third-party owners, unless otherwise stated.
Paragraph: You may not reproduce, modify, publish, distribute, frame, extract, use in advertising, use in marketing, or commercially exploit website materials without prior written permission. Requests relating to Kasumigaseki MENA materials may be sent to info.dubai@kasumigaseki.co.jp.</t>
  </si>
  <si>
    <t>TRM-08</t>
  </si>
  <si>
    <t>Third-party websites and services</t>
  </si>
  <si>
    <t>Heading (H2): Third-party websites and services
Paragraph: This website may contain links to group company websites, map services, media sources, social platforms, hospitality brands, logistics businesses, healthcare entities, and other third-party websites. These links are provided for convenience only.
Paragraph: Kasumigaseki MENA does not control and is not responsible for the availability, accuracy, security, content, cookies, privacy practices, or terms of third-party websites.</t>
  </si>
  <si>
    <t>TRM-09</t>
  </si>
  <si>
    <t>Website availability and security</t>
  </si>
  <si>
    <t>Heading (H2): Website availability and security
Paragraph: Kasumigaseki MENA aims to keep the website accessible and useful, but does not guarantee uninterrupted operation, error-free performance, compatibility with every browser or device, or the absence of harmful components. Users are responsible for maintaining appropriate browser, device, and security settings.</t>
  </si>
  <si>
    <t>TRM-10</t>
  </si>
  <si>
    <t>Limitation of liability</t>
  </si>
  <si>
    <t>Heading (H2): Limitation of liability
Paragraph: To the fullest extent permitted by applicable law, Kasumigaseki MENA and its affiliates are not liable for any direct, indirect, incidental, consequential, special, punitive, or other loss arising from use of this website, reliance on website content, linked third-party services, technical interruption, data transmission, or inability to access the website.</t>
  </si>
  <si>
    <t>TRM-11</t>
  </si>
  <si>
    <t>Changes to these terms</t>
  </si>
  <si>
    <t>Heading (H2): Changes to these terms
Paragraph: Kasumigaseki MENA may update these terms from time to time. The latest version will be posted on this page and will apply from the date shown above.</t>
  </si>
  <si>
    <t>TRM-12</t>
  </si>
  <si>
    <t>Contact</t>
  </si>
  <si>
    <t>Heading (H2): Contact
Paragraph: Questions about these terms may be sent to info.dubai@kasumigaseki.co.jp.</t>
  </si>
  <si>
    <t>LGN-01</t>
  </si>
  <si>
    <t>Legal Notice</t>
  </si>
  <si>
    <t>src/app/(site)/legal-notice/page.tsx (DB: pages)</t>
  </si>
  <si>
    <t>Meta description: Legal notice and corporate information for the Kasumigaseki MENA website.
Canonical URL: https://kasumigaseki.ae/legal-notice/
Kicker: Legal
Page title (H1): Legal Notice
Text: August 10, 2026 Kasumigaseki Capital MENA Dubai, United Arab Emirates
Bold text: Last updated</t>
  </si>
  <si>
    <t>Meta description: Legal notice and corporate information for Kasumigaseki Middle East Investment Management L.L.C., the Kasumigaseki Capital subsidiary in Dubai.</t>
  </si>
  <si>
    <t>LGN-02</t>
  </si>
  <si>
    <t>Website operator</t>
  </si>
  <si>
    <t>Heading (H2): Website operator
Paragraph: This website is operated for Kasumigaseki Capital MENA in Dubai, United Arab Emirates. General enquiries may be sent to info.dubai@kasumigaseki.co.jp.</t>
  </si>
  <si>
    <t>LGN-03</t>
  </si>
  <si>
    <t>Corporate positioning</t>
  </si>
  <si>
    <t>Heading (H2): Corporate positioning
Paragraph: Kasumigaseki MENA is the regional subsidiary of Kasumigaseki Capital Co., Ltd., headquartered in Tokyo. The website presents regional business activities, investment themes, locations, and operating capabilities for general information.</t>
  </si>
  <si>
    <t>LGN-04</t>
  </si>
  <si>
    <t>Site policy and technical use</t>
  </si>
  <si>
    <t>Heading (H2): Site policy and technical use
Paragraph: This website is intended for modern browsers and devices with standard web technologies enabled, including JavaScript where needed for navigation, media, forms, cookie consent, and interactive features. Some features may not operate correctly on outdated browsers, restricted networks, disabled scripts, or unsupported devices.</t>
  </si>
  <si>
    <t>LGN-05</t>
  </si>
  <si>
    <t>Accuracy, updates, and availability</t>
  </si>
  <si>
    <t>Heading (H2): Accuracy, updates, and availability
Paragraph: Kasumigaseki MENA aims to provide accurate and useful information, but does not guarantee completeness, timeliness, accuracy, availability, security, or suitability for any particular purpose. Content, URLs, features, media, and linked materials may be changed or removed without notice.</t>
  </si>
  <si>
    <t>LGN-06</t>
  </si>
  <si>
    <t>No professional advice or offer</t>
  </si>
  <si>
    <t>Heading (H2): No professional advice or offer
Paragraph: Website content is not investment, financial, legal, tax, accounting, technical, real estate, employment, or other professional advice. It is also not an offer, solicitation, recommendation, or commitment relating to any securities, property, investment product, fund, service, employment position, or transaction.</t>
  </si>
  <si>
    <t>LGN-07</t>
  </si>
  <si>
    <t>Heading (H2): Forward-looking information
Paragraph: Statements about future plans, markets, projects, strategy, outlook, development timelines, business expansion, or expected performance are subject to assumptions, risks, and uncertainties. Actual outcomes may differ materially.</t>
  </si>
  <si>
    <t>LGN-08</t>
  </si>
  <si>
    <t>Copyright, trademarks, and asset usage</t>
  </si>
  <si>
    <t>Heading (H2): Copyright, trademarks, and asset usage
Paragraph: Kasumigaseki names, logos, marks, website content, photographs, videos, graphics, design elements, and other assets are protected by applicable intellectual property laws. Unauthorized copying, editing, distribution, publication, commercial use, advertising use, or brand association is prohibited.
Paragraph: Some images, maps, videos, marks, or linked materials may belong to third parties. Permission from Kasumigaseki MENA does not grant rights in third-party assets. Requests relating to website materials may be sent to info.dubai@kasumigaseki.co.jp.</t>
  </si>
  <si>
    <t>LGN-09</t>
  </si>
  <si>
    <t>External links</t>
  </si>
  <si>
    <t>Heading (H2): External links
Paragraph: Links to third-party websites are provided for convenience and context. Kasumigaseki MENA does not control third-party websites and is not responsible for their content, security, policies, availability, or use of cookies and tracking technologies.</t>
  </si>
  <si>
    <t>LGN-10</t>
  </si>
  <si>
    <t>Compliance stance</t>
  </si>
  <si>
    <t>Heading (H2): Compliance stance
Paragraph: Kasumigaseki MENA is committed to lawful, ethical, and responsible business conduct. We do not knowingly support unlawful activity, corruption, fraud, money laundering, terrorist financing, sanctions evasion, or relationships with anti-social or criminal organizations.</t>
  </si>
  <si>
    <t>LGN-11</t>
  </si>
  <si>
    <t>Heading (H2): Contact
Paragraph: For website, legal, privacy, or asset usage enquiries, contact info.dubai@kasumigaseki.co.jp.</t>
  </si>
  <si>
    <t>CKP-01</t>
  </si>
  <si>
    <t>Cookie Policy</t>
  </si>
  <si>
    <t>src/app/(site)/cookie-policy/page.tsx (DB: pages)</t>
  </si>
  <si>
    <t>Meta description: Cookie policy for the Kasumigaseki MENA website.
Canonical URL: https://kasumigaseki.ae/cookie-policy/
Kicker: Legal
Page title (H1): Cookie Policy
Text: August 10, 2026 Kasumigaseki Capital MENA Dubai, United Arab Emirates
Bold text: Last updated</t>
  </si>
  <si>
    <t>Meta description: How kasumigaseki.ae uses cookies and similar technologies, what they do, and how you can manage them in your browser.</t>
  </si>
  <si>
    <t>CKP-02</t>
  </si>
  <si>
    <t>What cookies and similar technologies are</t>
  </si>
  <si>
    <t>Heading (H2): What cookies and similar technologies are
Paragraph: Cookies are small text files placed on a browser or device by a website or related service. Similar technologies include local storage, pixels, tags, scripts, embedded media, and server logs. They help websites operate, remember preferences, measure usage, maintain security, and support third-party features.</t>
  </si>
  <si>
    <t>CKP-03</t>
  </si>
  <si>
    <t>Cookie and usage consent</t>
  </si>
  <si>
    <t>Heading (H2): Cookie and usage consent
Paragraph: When you first visit this website, a consent notice may ask whether you agree to optional cookies and usage measurement. Essential technologies are used where needed for the website to function. Optional usage and media technologies are used only according to the choice you make where consent is required.
Paragraph: Open Cookie Settings</t>
  </si>
  <si>
    <t>CKP-04</t>
  </si>
  <si>
    <t>Categories we use</t>
  </si>
  <si>
    <t>Heading (H2): Categories we use
Bullet: Essential: required for core website operation, security, consent storage, page navigation, and basic functionality.
Bullet: Usage analytics: helps us understand how visitors use the website so we can improve content, performance, and user experience. Usage data is intended to be used in aggregated or statistical form.
Bullet: Functional media and external services: supports embedded videos, maps, social links, font delivery, and other third-party features. These providers may process technical information under their own policies.</t>
  </si>
  <si>
    <t>CKP-05</t>
  </si>
  <si>
    <t>Third-party services</t>
  </si>
  <si>
    <t>Heading (H2): Third-party services
Paragraph: This website may link to or load resources from third-party providers, including map platforms, video or media platforms, social media, font providers, analytics tools, and group company websites. These providers may set cookies or collect technical information when you interact with their services.</t>
  </si>
  <si>
    <t>CKP-06</t>
  </si>
  <si>
    <t>How long choices are stored</t>
  </si>
  <si>
    <t>Heading (H2): How long choices are stored
Paragraph: Your cookie and usage consent preference is stored in your browser using local storage so the website can remember your selection. If you clear browser storage or use another device, the consent notice may appear again.</t>
  </si>
  <si>
    <t>CKP-07</t>
  </si>
  <si>
    <t>Managing cookies in your browser</t>
  </si>
  <si>
    <t>Heading (H2): Managing cookies in your browser
Paragraph: Most browsers allow you to block, delete, or manage cookies through settings. Blocking certain cookies may affect website performance or availability of media, maps, or other features.</t>
  </si>
  <si>
    <t>CKP-08</t>
  </si>
  <si>
    <t>Heading (H2): Updates
Paragraph: This policy may be updated as website features, third-party services, or legal requirements change. The latest version will be posted on this page.</t>
  </si>
  <si>
    <t>URL (canonical)</t>
  </si>
  <si>
    <t>Route (existing)</t>
  </si>
  <si>
    <t>Current meta title</t>
  </si>
  <si>
    <t>Current meta description</t>
  </si>
  <si>
    <t>Current H1</t>
  </si>
  <si>
    <t>Proposed meta title (&lt;=60 chars)</t>
  </si>
  <si>
    <t>Proposed meta description (&lt;=155 chars)</t>
  </si>
  <si>
    <t>Target keyword</t>
  </si>
  <si>
    <t>Suggested schema</t>
  </si>
  <si>
    <t>Voice/positioning note (from deck)</t>
  </si>
  <si>
    <t>HOM</t>
  </si>
  <si>
    <t>https://kasumigaseki.ae/</t>
  </si>
  <si>
    <t>Static via rewrite (public/)</t>
  </si>
  <si>
    <t>Kasumigaseki MENA | Development, Investment &amp; Operations Across the GCC</t>
  </si>
  <si>
    <t>Kasumigaseki MENA is the regional subsidiary of Kasumigaseki Capital, headquartered in Tokyo, building across Development, Investment &amp; Asset Management, and Food &amp; Beverage.</t>
  </si>
  <si>
    <t>Turning Challenge into Value.</t>
  </si>
  <si>
    <t>Kasumigaseki MENA | Development &amp; Investment in the GCC</t>
  </si>
  <si>
    <t>Kasumigaseki MENA is the Dubai-based arm of Tokyo-listed Kasumigaseki Capital — development, investment &amp; asset management, and food &amp; beverage.</t>
  </si>
  <si>
    <t>Kasumigaseki MENA; Japanese real estate investment company Dubai</t>
  </si>
  <si>
    <t>Organization, WebSite</t>
  </si>
  <si>
    <t>House line 'Turning Challenge into Value.' Deck frames parent as TSE Prime-listed (3498), $5.17bn pipeline, 129 projects; MENA entity = Kasumigaseki Middle East Investment Management L.L.C. Brand guide: restrained, content-first.</t>
  </si>
  <si>
    <t>ABU</t>
  </si>
  <si>
    <t>https://kasumigaseki.ae/about-us/</t>
  </si>
  <si>
    <t>About Us | Kasumigaseki MENA</t>
  </si>
  <si>
    <t>Kasumigaseki MENA is the regional subsidiary of Kasumigaseki Capital, headquartered in Tokyo, with a regional strategy across Development, Investment &amp; Asset Management, and Food &amp; Beverage.</t>
  </si>
  <si>
    <t>The GCC platform of Kasumigaseki Capital — the TSE Prime-listed developer founded in Tokyo in 2011 — its leadership, strategy and regional track record.</t>
  </si>
  <si>
    <t>Kasumigaseki Capital; TSE Prime listed developer</t>
  </si>
  <si>
    <t>AboutPage, Organization</t>
  </si>
  <si>
    <t>Deck: founded Sept 2011; Mothers 2018, Prime Oct 2023; leadership Ogawa (Founder &amp; Chairman), Komoto (President &amp; CEO); 'seasoned experts... imbued with entrepreneurial drive'; 90 Dubai staff. Local chairman Alabbar Alfalasi is a strong E-E-A-T signal — expand his message.</t>
  </si>
  <si>
    <t>GBZ</t>
  </si>
  <si>
    <t>https://kasumigaseki.ae/global-businesses/</t>
  </si>
  <si>
    <t>Global Business â€” Kasumigaseki MENA</t>
  </si>
  <si>
    <t>Explore Kasumigaseki Capital's global logistics, hotel business, and healthcare platforms.</t>
  </si>
  <si>
    <t>Global Business</t>
  </si>
  <si>
    <t>Global Businesses | Kasumigaseki MENA</t>
  </si>
  <si>
    <t>Kasumigaseki Capital's global platforms: LOGI FLAG logistics, FHG hotels, CLASWELL healthcare and overseas development across Japan, Dubai and the US.</t>
  </si>
  <si>
    <t>Kasumigaseki Capital businesses; LOGI FLAG; FHG hotels; CLASWELL</t>
  </si>
  <si>
    <t>WebPage, BreadcrumbList</t>
  </si>
  <si>
    <t>Deck pillars (Feb 2026): Logistics 29 projects/$2.33bn (LOGI FLAG frozen/chilled/automated, COLD X NETWORK); Hotel 68 projects/$2.30bn (FHG 'self hospitality': fav, FAV LUX, seven x seven, edit x seven, BASE LAYER, HOTEL FORK &amp; KNIFE); Healthcare 17/CLASWELL hospice residences; Overseas: Dubai, Miami Worldcenter, KSA MOU.</t>
  </si>
  <si>
    <t>LOB</t>
  </si>
  <si>
    <t>https://kasumigaseki.ae/local-business/</t>
  </si>
  <si>
    <t>Local Business â€” Kasumigaseki MENA</t>
  </si>
  <si>
    <t>Kasumigaseki MENA's local business platform spans development, investment and asset management, and food and beverage across Dubai and the wider GCC.</t>
  </si>
  <si>
    <t>Local Business | Kasumigaseki MENA</t>
  </si>
  <si>
    <t>Kasumigaseki MENA's Dubai platform spans property development, investment &amp; asset management, and F&amp;B — extending Japanese discipline to the GCC.</t>
  </si>
  <si>
    <t>Dubai real estate platform; investment and development Dubai</t>
  </si>
  <si>
    <t>Deck positions Dubai ops as full platform 'same business model as in Japan' — fund-based development, disciplined underwriting. Anchor stats: 14,000 sq ft sales centre, 452,389 sq ft BUA, 203,575 sq ft GSA.</t>
  </si>
  <si>
    <t>RE</t>
  </si>
  <si>
    <t>https://kasumigaseki.ae/real-estate/</t>
  </si>
  <si>
    <t>Investment &amp; Asset Management â€” Kasumigaseki MENA</t>
  </si>
  <si>
    <t>Kasumigaseki MENA's investment and asset management business is built around disciplined underwriting, selective market access, and long-term value creation.</t>
  </si>
  <si>
    <t>Investment &amp;amp; Asset Management</t>
  </si>
  <si>
    <t>Investment &amp; Asset Management | Kasumigaseki MENA</t>
  </si>
  <si>
    <t>Real estate investment and asset management in Dubai — a US$304M portfolio across 60 units in Downtown, Dubai Hills, Hartland and Palm Jumeirah.</t>
  </si>
  <si>
    <t>real estate investment Dubai; asset management Dubai</t>
  </si>
  <si>
    <t>Deck: US$304.4M total investment across 60 units; 26 units + 3 plots held (US$156.48M) in Downtown, Dubai Hills, Hartland, Palm Jumeirah. Dubai thesis: 2040 Master Plan to 5.8M population, 3rd most affordable top-25 city, 6th safest. NOTE: deck figures pending public-use clearance.</t>
  </si>
  <si>
    <t>RED</t>
  </si>
  <si>
    <t>https://kasumigaseki.ae/real-estate-development/</t>
  </si>
  <si>
    <t>Development â€” Kasumigaseki MENA</t>
  </si>
  <si>
    <t>Kasumigaseki MENA's development business connects land strategy, product creation, capital structuring, and sales execution across Dubai and the wider GCC.</t>
  </si>
  <si>
    <t>Development</t>
  </si>
  <si>
    <t>Property Development in Dubai | Kasumigaseki MENA</t>
  </si>
  <si>
    <t>Dubai property development by Kasumigaseki MENA — land strategy, product creation, capital structuring and sales, from Meydan Horizon to Emerald Hills.</t>
  </si>
  <si>
    <t>property development company Dubai; Meydan Horizon residence</t>
  </si>
  <si>
    <t>Deck: Meydan Horizon = first branded residential development (452,389 sq ft BUA, 1-3BR, opposite Ras Al Khor sanctuary); Emerald Hills villa JV with Daito Trust Construction; Business Bay Sales Centre (14,000 sq ft) opening soon. 'Value created before verticals'.</t>
  </si>
  <si>
    <t>FNB</t>
  </si>
  <si>
    <t>https://kasumigaseki.ae/f-and-b/</t>
  </si>
  <si>
    <t>Food &amp; Beverage â€” Kasumigaseki MENA</t>
  </si>
  <si>
    <t>Kasumigaseki MENA's Food &amp; Beverage business brings Tokyo-rooted Neo-Japanese cuisine, charcoal fire, premium ingredients, and precise service design to Dubai.</t>
  </si>
  <si>
    <t>Food &amp;amp; Beverage</t>
  </si>
  <si>
    <t>Food &amp; Beverage | Kasumigaseki MENA</t>
  </si>
  <si>
    <t>Tokyo-rooted Neo-Japanese dining in Dubai: charcoal fire, premium ingredients and precise service from the Kasumigaseki hospitality family.</t>
  </si>
  <si>
    <t>Neo-Japanese restaurant Dubai; Kasumigaseki Restaurant</t>
  </si>
  <si>
    <t>Deck culinary anchors: HOTEL FORK &amp; KNIFE 'culinary experience at the core', wood-fired gastronomy, 'Tradition Served Quietly.' Map to Kasumigaseki Restaurant at Vida Emirates Hills, chef Keigo Abe (Michelin-selected, Tokyo).</t>
  </si>
  <si>
    <t>NWS</t>
  </si>
  <si>
    <t>https://kasumigaseki.ae/news/</t>
  </si>
  <si>
    <t>Next route + CMS DB</t>
  </si>
  <si>
    <t>News — Kasumigaseki MENA</t>
  </si>
  <si>
    <t>Latest local and international news of Kasumigaseki MENA and Kasumigaseki Capital.</t>
  </si>
  <si>
    <t>News &amp; Updates | Kasumigaseki MENA</t>
  </si>
  <si>
    <t>Latest news from Kasumigaseki MENA and Kasumigaseki Capital — projects, partnerships and market commentary across the GCC and Japan.</t>
  </si>
  <si>
    <t>Kasumigaseki MENA news; Kasumigaseki Capital news</t>
  </si>
  <si>
    <t>CollectionPage, ItemList</t>
  </si>
  <si>
    <t>Deck 'Events/Media' pages model the announcement voice: factual, visual, date-stamped. News can carry GCC milestones + parent IR updates (linked, not duplicated).</t>
  </si>
  <si>
    <t>https://kasumigaseki.ae/faq/</t>
  </si>
  <si>
    <t>Frequently asked questions about Kasumigaseki Capital MENA — our businesses, projects, and how to reach us.</t>
  </si>
  <si>
    <t>FAQs | Kasumigaseki MENA</t>
  </si>
  <si>
    <t>Frequently asked questions about Kasumigaseki MENA — our businesses, Dubai projects, and how to reach the team.</t>
  </si>
  <si>
    <t>Kasumigaseki MENA FAQ</t>
  </si>
  <si>
    <t>FAQPage</t>
  </si>
  <si>
    <t>8 seeded Q&amp;As already question-shaped. AEO: 40-60 word answer-first blocks; add entries for Meydan Horizon, the restaurant, and careers routing.</t>
  </si>
  <si>
    <t>CAR</t>
  </si>
  <si>
    <t>https://kasumigaseki.ae/careers/</t>
  </si>
  <si>
    <t>Careers â€” Kasumigaseki Capital</t>
  </si>
  <si>
    <t>Share your profile with Kasumigaseki MENA for careers across development, investment, asset management, and food and beverage.</t>
  </si>
  <si>
    <t>Careers | Kasumigaseki MENA</t>
  </si>
  <si>
    <t>Careers at Kasumigaseki MENA in Dubai — build across development, investment, asset management and food &amp; beverage.</t>
  </si>
  <si>
    <t>real estate careers Dubai; Kasumigaseki jobs</t>
  </si>
  <si>
    <t>WebPage, BreadcrumbList (JobPosting when jobs CMS lands)</t>
  </si>
  <si>
    <t>Deck: 90 employees in Dubai (Feb 2026); culture line 'seasoned experts... imbued with entrepreneurial drive'. Job board comes with the jobs CMS (Phase 2).</t>
  </si>
  <si>
    <t>CON</t>
  </si>
  <si>
    <t>https://kasumigaseki.ae/contact-us/</t>
  </si>
  <si>
    <t>Contact Us â€” Kasumigaseki Capital</t>
  </si>
  <si>
    <t>Contact Kasumigaseki MENA in Dubai for corporate, investor, partnership, and business enquiries.</t>
  </si>
  <si>
    <t>Contact Us | Kasumigaseki MENA</t>
  </si>
  <si>
    <t>Contact Kasumigaseki MENA — Dubai Hills Estate office, Business Bay sales centre, and enquiry routing for corporate, investor and partnership matters.</t>
  </si>
  <si>
    <t>Kasumigaseki MENA contact; Dubai Hills Estate office</t>
  </si>
  <si>
    <t>ContactPage, Organization (contactPoint)</t>
  </si>
  <si>
    <t>Deck: Dubai Hills Estate Business Park 4 office; Business Bay Sales Centre (14,000 sq ft, Downtown/sea views) opening soon — add as enquiry route once open.</t>
  </si>
  <si>
    <t>PRC</t>
  </si>
  <si>
    <t>https://kasumigaseki.ae/privacy-policy/</t>
  </si>
  <si>
    <t>Privacy Policy | Kasumigaseki MENA</t>
  </si>
  <si>
    <t>Privacy policy for Kasumigaseki MENA website visitors and enquiry submissions.</t>
  </si>
  <si>
    <t>How Kasumigaseki MENA collects, uses, stores and protects personal data — on this website and in enquiry submissions.</t>
  </si>
  <si>
    <t>Kasumigaseki privacy policy</t>
  </si>
  <si>
    <t>WebPage</t>
  </si>
  <si>
    <t>Legal pages must stay consistent with regulated-entity naming (deck carries FIBO registration + disclaimers for the parent).</t>
  </si>
  <si>
    <t>TRM</t>
  </si>
  <si>
    <t>https://kasumigaseki.ae/terms-and-conditions/</t>
  </si>
  <si>
    <t>Terms &amp; Conditions | Kasumigaseki MENA</t>
  </si>
  <si>
    <t>Terms and conditions for using the Kasumigaseki MENA website.</t>
  </si>
  <si>
    <t>The terms and conditions that govern use of the Kasumigaseki MENA website, including limitations of liability and intellectual property.</t>
  </si>
  <si>
    <t>Kasumigaseki terms and conditions</t>
  </si>
  <si>
    <t>Keep aligned with parent's disclaimer language (deck p.49-50).</t>
  </si>
  <si>
    <t>LGN</t>
  </si>
  <si>
    <t>https://kasumigaseki.ae/legal-notice/</t>
  </si>
  <si>
    <t>Legal Notice | Kasumigaseki MENA</t>
  </si>
  <si>
    <t>Legal notice and corporate information for the Kasumigaseki MENA website.</t>
  </si>
  <si>
    <t>Legal notice and corporate information for Kasumigaseki Middle East Investment Management L.L.C., the Kasumigaseki Capital subsidiary in Dubai.</t>
  </si>
  <si>
    <t>Kasumigaseki legal notice</t>
  </si>
  <si>
    <t>Entity: Kasumigaseki Middle East Investment Management L.L.C. (deck cover).</t>
  </si>
  <si>
    <t>CKP</t>
  </si>
  <si>
    <t>https://kasumigaseki.ae/cookie-policy/</t>
  </si>
  <si>
    <t>Cookie Policy | Kasumigaseki MENA</t>
  </si>
  <si>
    <t>Cookie policy for the Kasumigaseki MENA website.</t>
  </si>
  <si>
    <t>How kasumigaseki.ae uses cookies and similar technologies, what they do, and how you can manage them in your browser.</t>
  </si>
  <si>
    <t>Kasumigaseki cookie policy</t>
  </si>
  <si>
    <t>Standard; keep in sync with any future analytics/CRM stack (Phase 3 Salesforce).</t>
  </si>
  <si>
    <t>https://kasumigaseki.ae/news/[slug]/</t>
  </si>
  <si>
    <t>Next route /news/[slug] + CMS DB</t>
  </si>
  <si>
    <t>(per post)</t>
  </si>
  <si>
    <t>(per post — [Topic] | Kasumigaseki MENA)</t>
  </si>
  <si>
    <t>Per post: open with who/what/where/when in the first 40 words; end with a CTA link.</t>
  </si>
  <si>
    <t>Article (NewsArticle), BreadcrumbList</t>
  </si>
  <si>
    <t>Deck announcement voice: factual, visual, date-stamped.</t>
  </si>
  <si>
    <t>Sections</t>
  </si>
  <si>
    <t>In review</t>
  </si>
  <si>
    <t>Client edits</t>
  </si>
  <si>
    <t>Approved</t>
  </si>
  <si>
    <t>In CMS</t>
  </si>
  <si>
    <t>% done</t>
  </si>
  <si>
    <t>Reviewer</t>
  </si>
  <si>
    <t>Blockers / notes</t>
  </si>
  <si>
    <t>GLB</t>
  </si>
  <si>
    <t>KC MENA Content Audit — Reference</t>
  </si>
  <si>
    <t>STATUS LIFECYCLE (dropdown in 'Status' columns)</t>
  </si>
  <si>
    <t>Row identified; no rewrite work begun.</t>
  </si>
  <si>
    <t>SEO/AEO rewrite written (in sheet for short copy, in page Doc for long copy).</t>
  </si>
  <si>
    <t>Sent to client; awaiting feedback.</t>
  </si>
  <si>
    <t>Client left feedback in 'Client feedback' column; revision needed.</t>
  </si>
  <si>
    <t>Client approved; ready to enter CMS.</t>
  </si>
  <si>
    <t>Copy entered and saved in the CMS (verify /admin).</t>
  </si>
  <si>
    <t>WORKING RULES</t>
  </si>
  <si>
    <t>1</t>
  </si>
  <si>
    <t>One row per SECTION (granular text nodes live inside 'Current Content'). Long copy is written ONLY in the page's Google Doc; the sheet holds short/medium copy, keywords, metadata, status.</t>
  </si>
  <si>
    <t>2</t>
  </si>
  <si>
    <t>Meta titles/descriptions live in the 'Page SEO' tab (short, cross-page comparable).</t>
  </si>
  <si>
    <t>3</t>
  </si>
  <si>
    <t>Client feedback goes ONLY in the 'Client feedback' column (short notes), citing the row ID.</t>
  </si>
  <si>
    <t>4</t>
  </si>
  <si>
    <t>Do not edit copy in two places. Docs freeze at 'Approved'; the CMS becomes the single source of truth at 'In CMS'.</t>
  </si>
  <si>
    <t>5</t>
  </si>
  <si>
    <t>Current copy in this sheet is the audit snapshot; the source tracker (KC MENA - Content Tracker.xlsx) stays untouched.</t>
  </si>
  <si>
    <t>6</t>
  </si>
  <si>
    <t>DB-driven pages (News, FAQ, legal) are edited in the CMS at 'In CMS' time — pages.content JSONB / news_posts / faqs.</t>
  </si>
  <si>
    <t>ID SCHEME</t>
  </si>
  <si>
    <t>Header &amp; Navigation, Footer, Contact Drawer — 00-globals.docx</t>
  </si>
  <si>
    <t>Home — 01-home.docx</t>
  </si>
  <si>
    <t>About Us — 02-about-us.docx</t>
  </si>
  <si>
    <t>Global Businesses — 03-global-businesses.docx</t>
  </si>
  <si>
    <t>Local Business — 04-local-business.docx</t>
  </si>
  <si>
    <t>Real Estate (Investment &amp; Asset Management) — 05-real-estate.docx</t>
  </si>
  <si>
    <t>Real Estate Development — 06-real-estate-development.docx</t>
  </si>
  <si>
    <t>F&amp;B — 07-fnb.docx</t>
  </si>
  <si>
    <t>News + News article template — 08-news.docx</t>
  </si>
  <si>
    <t>FAQ — 09-faq.docx</t>
  </si>
  <si>
    <t>Careers — 10-careers.docx</t>
  </si>
  <si>
    <t>Contact Us — 11-contact-us.docx</t>
  </si>
  <si>
    <t>PRC/TRM/LGN/CKP</t>
  </si>
  <si>
    <t>Privacy Policy, Terms &amp; Conditions, Legal Notice, Cookie Policy — 12-legal.docx</t>
  </si>
  <si>
    <t>GOOGLE-DOC TEMPLATES</t>
  </si>
  <si>
    <t>google-doc-templates/</t>
  </si>
  <si>
    <t>13 .docx starters (one per page + globals + legal), in this folder next to the workbook. Paste one per Google Doc; keep the [ID] headings so feedback maps 1:1 to audit rows. 'Doc link' columns are pre-filled with the file path — swap for the live Google Doc URL once created.</t>
  </si>
  <si>
    <t>SEO/AEO AUDIT</t>
  </si>
  <si>
    <t>Intent values</t>
  </si>
  <si>
    <t>Informational / Commercial / Transactional / Navigational (dropdown).</t>
  </si>
  <si>
    <t>The People-Also-Ask / AI-Overview style question this section should answer directly. One per row where relevant.</t>
  </si>
  <si>
    <t>Marketing deck</t>
  </si>
  <si>
    <t>Distilled into 'Voice/positioning note' on the Page SEO tab. Source: 2026 Company &amp; Department Introduction (50pp, CONFIDENTIAL) + KPD Brand Guidelines — confirm which deck figures are cleared for public site use before publishing.</t>
  </si>
  <si>
    <t>AEO WITHIN EXISTING UI</t>
  </si>
  <si>
    <t>Front-end</t>
  </si>
  <si>
    <t>Stays as-is; no new sections or modules anywhere.</t>
  </si>
  <si>
    <t>/faq is a first-class CMS resource (/admin/faqs). AEO questions can become managed FAQ entries rendered with FAQPage JSON-LD.</t>
  </si>
  <si>
    <t>Other pages</t>
  </si>
  <si>
    <t>Question-shaped H2/H3s + 40-60 word answer-first paragraphs within existing sections (driven by the 'AEO question(s)' column).</t>
  </si>
  <si>
    <t>Long-tail Q&amp;A</t>
  </si>
  <si>
    <t>Published as News posts in the CMS, internally linked to business pages.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</si>
</sst>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u/>
      <sz val="11"/>
      <color rgb="FF0563C1"/>
      <name val="Calibri"/>
    </font>
    <font>
      <b/>
      <sz val="13"/>
      <name val="Calibri"/>
    </font>
    <font>
      <b/>
      <sz val="11"/>
      <name val="Calibri"/>
    </font>
  </fonts>
  <fills count="3">
    <fill>
      <patternFill patternType="none"/>
    </fill>
    <fill>
      <patternFill patternType="gray125"/>
    </fill>
    <fill>
      <patternFill patternType="solid">
        <fgColor rgb="FF0A0A0A"/>
      </patternFill>
    </fill>
  </fills>
  <borders count="2">
    <border>
      <left/>
      <right/>
      <top/>
      <bottom/>
      <diagonal/>
    </border>
    <border>
      <left/>
      <right/>
      <top/>
      <bottom style="thin">
        <color auto="1"/>
      </bottom>
      <diagonal/>
    </border>
  </borders>
  <cellStyleXfs count="1">
    <xf numFmtId="0" fontId="0" fillId="0" borderId="0"/>
  </cellStyleXfs>
  <cellXfs count="10">
    <xf numFmtId="0" fontId="0" fillId="0" borderId="0" xfId="0"/>
    <xf numFmtId="0" fontId="1" fillId="2" borderId="0" xfId="0" applyFont="1" applyFill="1" applyAlignment="1">
      <alignment vertical="center"/>
    </xf>
    <xf numFmtId="0" fontId="1" fillId="2" borderId="1" xfId="0" applyFont="1" applyFill="1" applyBorder="1" applyAlignment="1">
      <alignment vertical="center"/>
    </xf>
    <xf numFmtId="0" fontId="0" fillId="0" borderId="0" xfId="0" applyAlignment="1">
      <alignment vertical="top" wrapText="1"/>
    </xf>
    <xf numFmtId="0" fontId="2" fillId="0" borderId="0" xfId="0" applyFont="1"/>
    <xf numFmtId="9" fontId="0" fillId="0" borderId="0" xfId="0" applyNumberFormat="1"/>
    <xf numFmtId="0" fontId="3" fillId="0" borderId="0" xfId="0" applyFont="1"/>
    <xf numFmtId="0" fontId="3" fillId="0" borderId="0" xfId="0" applyFont="1" applyAlignment="1">
      <alignment vertical="top" wrapText="1"/>
    </xf>
    <xf numFmtId="0" fontId="4" fillId="0" borderId="0" xfId="0" applyFont="1"/>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google-doc-templates/03-global-businesses.docx" TargetMode="External"/><Relationship Id="rId21" Type="http://schemas.openxmlformats.org/officeDocument/2006/relationships/hyperlink" Target="google-doc-templates/02-about-us.docx" TargetMode="External"/><Relationship Id="rId42" Type="http://schemas.openxmlformats.org/officeDocument/2006/relationships/hyperlink" Target="google-doc-templates/06-real-estate-development.docx" TargetMode="External"/><Relationship Id="rId47" Type="http://schemas.openxmlformats.org/officeDocument/2006/relationships/hyperlink" Target="google-doc-templates/06-real-estate-development.docx" TargetMode="External"/><Relationship Id="rId63" Type="http://schemas.openxmlformats.org/officeDocument/2006/relationships/hyperlink" Target="google-doc-templates/11-contact-us.docx" TargetMode="External"/><Relationship Id="rId68" Type="http://schemas.openxmlformats.org/officeDocument/2006/relationships/hyperlink" Target="google-doc-templates/12-legal.docx" TargetMode="External"/><Relationship Id="rId84" Type="http://schemas.openxmlformats.org/officeDocument/2006/relationships/hyperlink" Target="google-doc-templates/12-legal.docx" TargetMode="External"/><Relationship Id="rId89" Type="http://schemas.openxmlformats.org/officeDocument/2006/relationships/hyperlink" Target="google-doc-templates/12-legal.docx" TargetMode="External"/><Relationship Id="rId16" Type="http://schemas.openxmlformats.org/officeDocument/2006/relationships/hyperlink" Target="google-doc-templates/02-about-us.docx" TargetMode="External"/><Relationship Id="rId107" Type="http://schemas.openxmlformats.org/officeDocument/2006/relationships/hyperlink" Target="google-doc-templates/12-legal.docx" TargetMode="External"/><Relationship Id="rId11" Type="http://schemas.openxmlformats.org/officeDocument/2006/relationships/hyperlink" Target="google-doc-templates/01-home.docx" TargetMode="External"/><Relationship Id="rId32" Type="http://schemas.openxmlformats.org/officeDocument/2006/relationships/hyperlink" Target="google-doc-templates/04-local-business.docx" TargetMode="External"/><Relationship Id="rId37" Type="http://schemas.openxmlformats.org/officeDocument/2006/relationships/hyperlink" Target="google-doc-templates/05-real-estate.docx" TargetMode="External"/><Relationship Id="rId53" Type="http://schemas.openxmlformats.org/officeDocument/2006/relationships/hyperlink" Target="google-doc-templates/07-fnb.docx" TargetMode="External"/><Relationship Id="rId58" Type="http://schemas.openxmlformats.org/officeDocument/2006/relationships/hyperlink" Target="google-doc-templates/08-news.docx" TargetMode="External"/><Relationship Id="rId74" Type="http://schemas.openxmlformats.org/officeDocument/2006/relationships/hyperlink" Target="google-doc-templates/12-legal.docx" TargetMode="External"/><Relationship Id="rId79" Type="http://schemas.openxmlformats.org/officeDocument/2006/relationships/hyperlink" Target="google-doc-templates/12-legal.docx" TargetMode="External"/><Relationship Id="rId102" Type="http://schemas.openxmlformats.org/officeDocument/2006/relationships/hyperlink" Target="google-doc-templates/12-legal.docx" TargetMode="External"/><Relationship Id="rId5" Type="http://schemas.openxmlformats.org/officeDocument/2006/relationships/hyperlink" Target="google-doc-templates/09-faq.docx" TargetMode="External"/><Relationship Id="rId90" Type="http://schemas.openxmlformats.org/officeDocument/2006/relationships/hyperlink" Target="google-doc-templates/12-legal.docx" TargetMode="External"/><Relationship Id="rId95" Type="http://schemas.openxmlformats.org/officeDocument/2006/relationships/hyperlink" Target="google-doc-templates/12-legal.docx" TargetMode="External"/><Relationship Id="rId22" Type="http://schemas.openxmlformats.org/officeDocument/2006/relationships/hyperlink" Target="google-doc-templates/03-global-businesses.docx" TargetMode="External"/><Relationship Id="rId27" Type="http://schemas.openxmlformats.org/officeDocument/2006/relationships/hyperlink" Target="google-doc-templates/03-global-businesses.docx" TargetMode="External"/><Relationship Id="rId43" Type="http://schemas.openxmlformats.org/officeDocument/2006/relationships/hyperlink" Target="google-doc-templates/06-real-estate-development.docx" TargetMode="External"/><Relationship Id="rId48" Type="http://schemas.openxmlformats.org/officeDocument/2006/relationships/hyperlink" Target="google-doc-templates/06-real-estate-development.docx" TargetMode="External"/><Relationship Id="rId64" Type="http://schemas.openxmlformats.org/officeDocument/2006/relationships/hyperlink" Target="google-doc-templates/11-contact-us.docx" TargetMode="External"/><Relationship Id="rId69" Type="http://schemas.openxmlformats.org/officeDocument/2006/relationships/hyperlink" Target="google-doc-templates/12-legal.docx" TargetMode="External"/><Relationship Id="rId80" Type="http://schemas.openxmlformats.org/officeDocument/2006/relationships/hyperlink" Target="google-doc-templates/12-legal.docx" TargetMode="External"/><Relationship Id="rId85" Type="http://schemas.openxmlformats.org/officeDocument/2006/relationships/hyperlink" Target="google-doc-templates/12-legal.docx" TargetMode="External"/><Relationship Id="rId12" Type="http://schemas.openxmlformats.org/officeDocument/2006/relationships/hyperlink" Target="google-doc-templates/01-home.docx" TargetMode="External"/><Relationship Id="rId17" Type="http://schemas.openxmlformats.org/officeDocument/2006/relationships/hyperlink" Target="google-doc-templates/02-about-us.docx" TargetMode="External"/><Relationship Id="rId33" Type="http://schemas.openxmlformats.org/officeDocument/2006/relationships/hyperlink" Target="google-doc-templates/04-local-business.docx" TargetMode="External"/><Relationship Id="rId38" Type="http://schemas.openxmlformats.org/officeDocument/2006/relationships/hyperlink" Target="google-doc-templates/05-real-estate.docx" TargetMode="External"/><Relationship Id="rId59" Type="http://schemas.openxmlformats.org/officeDocument/2006/relationships/hyperlink" Target="google-doc-templates/08-news.docx" TargetMode="External"/><Relationship Id="rId103" Type="http://schemas.openxmlformats.org/officeDocument/2006/relationships/hyperlink" Target="google-doc-templates/12-legal.docx" TargetMode="External"/><Relationship Id="rId108" Type="http://schemas.openxmlformats.org/officeDocument/2006/relationships/hyperlink" Target="google-doc-templates/12-legal.docx" TargetMode="External"/><Relationship Id="rId54" Type="http://schemas.openxmlformats.org/officeDocument/2006/relationships/hyperlink" Target="google-doc-templates/07-fnb.docx" TargetMode="External"/><Relationship Id="rId70" Type="http://schemas.openxmlformats.org/officeDocument/2006/relationships/hyperlink" Target="google-doc-templates/12-legal.docx" TargetMode="External"/><Relationship Id="rId75" Type="http://schemas.openxmlformats.org/officeDocument/2006/relationships/hyperlink" Target="google-doc-templates/12-legal.docx" TargetMode="External"/><Relationship Id="rId91" Type="http://schemas.openxmlformats.org/officeDocument/2006/relationships/hyperlink" Target="google-doc-templates/12-legal.docx" TargetMode="External"/><Relationship Id="rId96" Type="http://schemas.openxmlformats.org/officeDocument/2006/relationships/hyperlink" Target="google-doc-templates/12-legal.docx" TargetMode="External"/><Relationship Id="rId1" Type="http://schemas.openxmlformats.org/officeDocument/2006/relationships/hyperlink" Target="google-doc-templates/00-globals.docx" TargetMode="External"/><Relationship Id="rId6" Type="http://schemas.openxmlformats.org/officeDocument/2006/relationships/hyperlink" Target="google-doc-templates/09-faq.docx" TargetMode="External"/><Relationship Id="rId15" Type="http://schemas.openxmlformats.org/officeDocument/2006/relationships/hyperlink" Target="google-doc-templates/01-home.docx" TargetMode="External"/><Relationship Id="rId23" Type="http://schemas.openxmlformats.org/officeDocument/2006/relationships/hyperlink" Target="google-doc-templates/03-global-businesses.docx" TargetMode="External"/><Relationship Id="rId28" Type="http://schemas.openxmlformats.org/officeDocument/2006/relationships/hyperlink" Target="google-doc-templates/04-local-business.docx" TargetMode="External"/><Relationship Id="rId36" Type="http://schemas.openxmlformats.org/officeDocument/2006/relationships/hyperlink" Target="google-doc-templates/05-real-estate.docx" TargetMode="External"/><Relationship Id="rId49" Type="http://schemas.openxmlformats.org/officeDocument/2006/relationships/hyperlink" Target="google-doc-templates/07-fnb.docx" TargetMode="External"/><Relationship Id="rId57" Type="http://schemas.openxmlformats.org/officeDocument/2006/relationships/hyperlink" Target="google-doc-templates/08-news.docx" TargetMode="External"/><Relationship Id="rId106" Type="http://schemas.openxmlformats.org/officeDocument/2006/relationships/hyperlink" Target="google-doc-templates/12-legal.docx" TargetMode="External"/><Relationship Id="rId10" Type="http://schemas.openxmlformats.org/officeDocument/2006/relationships/hyperlink" Target="google-doc-templates/01-home.docx" TargetMode="External"/><Relationship Id="rId31" Type="http://schemas.openxmlformats.org/officeDocument/2006/relationships/hyperlink" Target="google-doc-templates/04-local-business.docx" TargetMode="External"/><Relationship Id="rId44" Type="http://schemas.openxmlformats.org/officeDocument/2006/relationships/hyperlink" Target="google-doc-templates/06-real-estate-development.docx" TargetMode="External"/><Relationship Id="rId52" Type="http://schemas.openxmlformats.org/officeDocument/2006/relationships/hyperlink" Target="google-doc-templates/07-fnb.docx" TargetMode="External"/><Relationship Id="rId60" Type="http://schemas.openxmlformats.org/officeDocument/2006/relationships/hyperlink" Target="google-doc-templates/08-news.docx" TargetMode="External"/><Relationship Id="rId65" Type="http://schemas.openxmlformats.org/officeDocument/2006/relationships/hyperlink" Target="google-doc-templates/11-contact-us.docx" TargetMode="External"/><Relationship Id="rId73" Type="http://schemas.openxmlformats.org/officeDocument/2006/relationships/hyperlink" Target="google-doc-templates/12-legal.docx" TargetMode="External"/><Relationship Id="rId78" Type="http://schemas.openxmlformats.org/officeDocument/2006/relationships/hyperlink" Target="google-doc-templates/12-legal.docx" TargetMode="External"/><Relationship Id="rId81" Type="http://schemas.openxmlformats.org/officeDocument/2006/relationships/hyperlink" Target="google-doc-templates/12-legal.docx" TargetMode="External"/><Relationship Id="rId86" Type="http://schemas.openxmlformats.org/officeDocument/2006/relationships/hyperlink" Target="google-doc-templates/12-legal.docx" TargetMode="External"/><Relationship Id="rId94" Type="http://schemas.openxmlformats.org/officeDocument/2006/relationships/hyperlink" Target="google-doc-templates/12-legal.docx" TargetMode="External"/><Relationship Id="rId99" Type="http://schemas.openxmlformats.org/officeDocument/2006/relationships/hyperlink" Target="google-doc-templates/12-legal.docx" TargetMode="External"/><Relationship Id="rId101" Type="http://schemas.openxmlformats.org/officeDocument/2006/relationships/hyperlink" Target="google-doc-templates/12-legal.docx" TargetMode="External"/><Relationship Id="rId4" Type="http://schemas.openxmlformats.org/officeDocument/2006/relationships/hyperlink" Target="google-doc-templates/09-faq.docx" TargetMode="External"/><Relationship Id="rId9" Type="http://schemas.openxmlformats.org/officeDocument/2006/relationships/hyperlink" Target="google-doc-templates/01-home.docx" TargetMode="External"/><Relationship Id="rId13" Type="http://schemas.openxmlformats.org/officeDocument/2006/relationships/hyperlink" Target="google-doc-templates/01-home.docx" TargetMode="External"/><Relationship Id="rId18" Type="http://schemas.openxmlformats.org/officeDocument/2006/relationships/hyperlink" Target="google-doc-templates/02-about-us.docx" TargetMode="External"/><Relationship Id="rId39" Type="http://schemas.openxmlformats.org/officeDocument/2006/relationships/hyperlink" Target="google-doc-templates/05-real-estate.docx" TargetMode="External"/><Relationship Id="rId109" Type="http://schemas.openxmlformats.org/officeDocument/2006/relationships/hyperlink" Target="google-doc-templates/12-legal.docx" TargetMode="External"/><Relationship Id="rId34" Type="http://schemas.openxmlformats.org/officeDocument/2006/relationships/hyperlink" Target="google-doc-templates/04-local-business.docx" TargetMode="External"/><Relationship Id="rId50" Type="http://schemas.openxmlformats.org/officeDocument/2006/relationships/hyperlink" Target="google-doc-templates/07-fnb.docx" TargetMode="External"/><Relationship Id="rId55" Type="http://schemas.openxmlformats.org/officeDocument/2006/relationships/hyperlink" Target="google-doc-templates/07-fnb.docx" TargetMode="External"/><Relationship Id="rId76" Type="http://schemas.openxmlformats.org/officeDocument/2006/relationships/hyperlink" Target="google-doc-templates/12-legal.docx" TargetMode="External"/><Relationship Id="rId97" Type="http://schemas.openxmlformats.org/officeDocument/2006/relationships/hyperlink" Target="google-doc-templates/12-legal.docx" TargetMode="External"/><Relationship Id="rId104" Type="http://schemas.openxmlformats.org/officeDocument/2006/relationships/hyperlink" Target="google-doc-templates/12-legal.docx" TargetMode="External"/><Relationship Id="rId7" Type="http://schemas.openxmlformats.org/officeDocument/2006/relationships/hyperlink" Target="google-doc-templates/09-faq.docx" TargetMode="External"/><Relationship Id="rId71" Type="http://schemas.openxmlformats.org/officeDocument/2006/relationships/hyperlink" Target="google-doc-templates/12-legal.docx" TargetMode="External"/><Relationship Id="rId92" Type="http://schemas.openxmlformats.org/officeDocument/2006/relationships/hyperlink" Target="google-doc-templates/12-legal.docx" TargetMode="External"/><Relationship Id="rId2" Type="http://schemas.openxmlformats.org/officeDocument/2006/relationships/hyperlink" Target="google-doc-templates/00-globals.docx" TargetMode="External"/><Relationship Id="rId29" Type="http://schemas.openxmlformats.org/officeDocument/2006/relationships/hyperlink" Target="google-doc-templates/04-local-business.docx" TargetMode="External"/><Relationship Id="rId24" Type="http://schemas.openxmlformats.org/officeDocument/2006/relationships/hyperlink" Target="google-doc-templates/03-global-businesses.docx" TargetMode="External"/><Relationship Id="rId40" Type="http://schemas.openxmlformats.org/officeDocument/2006/relationships/hyperlink" Target="google-doc-templates/05-real-estate.docx" TargetMode="External"/><Relationship Id="rId45" Type="http://schemas.openxmlformats.org/officeDocument/2006/relationships/hyperlink" Target="google-doc-templates/06-real-estate-development.docx" TargetMode="External"/><Relationship Id="rId66" Type="http://schemas.openxmlformats.org/officeDocument/2006/relationships/hyperlink" Target="google-doc-templates/12-legal.docx" TargetMode="External"/><Relationship Id="rId87" Type="http://schemas.openxmlformats.org/officeDocument/2006/relationships/hyperlink" Target="google-doc-templates/12-legal.docx" TargetMode="External"/><Relationship Id="rId110" Type="http://schemas.openxmlformats.org/officeDocument/2006/relationships/hyperlink" Target="google-doc-templates/12-legal.docx" TargetMode="External"/><Relationship Id="rId61" Type="http://schemas.openxmlformats.org/officeDocument/2006/relationships/hyperlink" Target="google-doc-templates/10-careers.docx" TargetMode="External"/><Relationship Id="rId82" Type="http://schemas.openxmlformats.org/officeDocument/2006/relationships/hyperlink" Target="google-doc-templates/12-legal.docx" TargetMode="External"/><Relationship Id="rId19" Type="http://schemas.openxmlformats.org/officeDocument/2006/relationships/hyperlink" Target="google-doc-templates/02-about-us.docx" TargetMode="External"/><Relationship Id="rId14" Type="http://schemas.openxmlformats.org/officeDocument/2006/relationships/hyperlink" Target="google-doc-templates/01-home.docx" TargetMode="External"/><Relationship Id="rId30" Type="http://schemas.openxmlformats.org/officeDocument/2006/relationships/hyperlink" Target="google-doc-templates/04-local-business.docx" TargetMode="External"/><Relationship Id="rId35" Type="http://schemas.openxmlformats.org/officeDocument/2006/relationships/hyperlink" Target="google-doc-templates/05-real-estate.docx" TargetMode="External"/><Relationship Id="rId56" Type="http://schemas.openxmlformats.org/officeDocument/2006/relationships/hyperlink" Target="google-doc-templates/08-news.docx" TargetMode="External"/><Relationship Id="rId77" Type="http://schemas.openxmlformats.org/officeDocument/2006/relationships/hyperlink" Target="google-doc-templates/12-legal.docx" TargetMode="External"/><Relationship Id="rId100" Type="http://schemas.openxmlformats.org/officeDocument/2006/relationships/hyperlink" Target="google-doc-templates/12-legal.docx" TargetMode="External"/><Relationship Id="rId105" Type="http://schemas.openxmlformats.org/officeDocument/2006/relationships/hyperlink" Target="google-doc-templates/12-legal.docx" TargetMode="External"/><Relationship Id="rId8" Type="http://schemas.openxmlformats.org/officeDocument/2006/relationships/hyperlink" Target="google-doc-templates/01-home.docx" TargetMode="External"/><Relationship Id="rId51" Type="http://schemas.openxmlformats.org/officeDocument/2006/relationships/hyperlink" Target="google-doc-templates/07-fnb.docx" TargetMode="External"/><Relationship Id="rId72" Type="http://schemas.openxmlformats.org/officeDocument/2006/relationships/hyperlink" Target="google-doc-templates/12-legal.docx" TargetMode="External"/><Relationship Id="rId93" Type="http://schemas.openxmlformats.org/officeDocument/2006/relationships/hyperlink" Target="google-doc-templates/12-legal.docx" TargetMode="External"/><Relationship Id="rId98" Type="http://schemas.openxmlformats.org/officeDocument/2006/relationships/hyperlink" Target="google-doc-templates/12-legal.docx" TargetMode="External"/><Relationship Id="rId3" Type="http://schemas.openxmlformats.org/officeDocument/2006/relationships/hyperlink" Target="google-doc-templates/00-globals.docx" TargetMode="External"/><Relationship Id="rId25" Type="http://schemas.openxmlformats.org/officeDocument/2006/relationships/hyperlink" Target="google-doc-templates/03-global-businesses.docx" TargetMode="External"/><Relationship Id="rId46" Type="http://schemas.openxmlformats.org/officeDocument/2006/relationships/hyperlink" Target="google-doc-templates/06-real-estate-development.docx" TargetMode="External"/><Relationship Id="rId67" Type="http://schemas.openxmlformats.org/officeDocument/2006/relationships/hyperlink" Target="google-doc-templates/12-legal.docx" TargetMode="External"/><Relationship Id="rId20" Type="http://schemas.openxmlformats.org/officeDocument/2006/relationships/hyperlink" Target="google-doc-templates/02-about-us.docx" TargetMode="External"/><Relationship Id="rId41" Type="http://schemas.openxmlformats.org/officeDocument/2006/relationships/hyperlink" Target="google-doc-templates/05-real-estate.docx" TargetMode="External"/><Relationship Id="rId62" Type="http://schemas.openxmlformats.org/officeDocument/2006/relationships/hyperlink" Target="google-doc-templates/10-careers.docx" TargetMode="External"/><Relationship Id="rId83" Type="http://schemas.openxmlformats.org/officeDocument/2006/relationships/hyperlink" Target="google-doc-templates/12-legal.docx" TargetMode="External"/><Relationship Id="rId88" Type="http://schemas.openxmlformats.org/officeDocument/2006/relationships/hyperlink" Target="google-doc-templates/12-legal.docx"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google-doc-templates/08-news.docx" TargetMode="External"/><Relationship Id="rId13" Type="http://schemas.openxmlformats.org/officeDocument/2006/relationships/hyperlink" Target="google-doc-templates/12-legal.docx" TargetMode="External"/><Relationship Id="rId3" Type="http://schemas.openxmlformats.org/officeDocument/2006/relationships/hyperlink" Target="google-doc-templates/03-global-businesses.docx" TargetMode="External"/><Relationship Id="rId7" Type="http://schemas.openxmlformats.org/officeDocument/2006/relationships/hyperlink" Target="google-doc-templates/07-fnb.docx" TargetMode="External"/><Relationship Id="rId12" Type="http://schemas.openxmlformats.org/officeDocument/2006/relationships/hyperlink" Target="google-doc-templates/12-legal.docx" TargetMode="External"/><Relationship Id="rId2" Type="http://schemas.openxmlformats.org/officeDocument/2006/relationships/hyperlink" Target="google-doc-templates/02-about-us.docx" TargetMode="External"/><Relationship Id="rId16" Type="http://schemas.openxmlformats.org/officeDocument/2006/relationships/hyperlink" Target="google-doc-templates/08-news.docx" TargetMode="External"/><Relationship Id="rId1" Type="http://schemas.openxmlformats.org/officeDocument/2006/relationships/hyperlink" Target="google-doc-templates/01-home.docx" TargetMode="External"/><Relationship Id="rId6" Type="http://schemas.openxmlformats.org/officeDocument/2006/relationships/hyperlink" Target="google-doc-templates/06-real-estate-development.docx" TargetMode="External"/><Relationship Id="rId11" Type="http://schemas.openxmlformats.org/officeDocument/2006/relationships/hyperlink" Target="google-doc-templates/11-contact-us.docx" TargetMode="External"/><Relationship Id="rId5" Type="http://schemas.openxmlformats.org/officeDocument/2006/relationships/hyperlink" Target="google-doc-templates/05-real-estate.docx" TargetMode="External"/><Relationship Id="rId15" Type="http://schemas.openxmlformats.org/officeDocument/2006/relationships/hyperlink" Target="google-doc-templates/12-legal.docx" TargetMode="External"/><Relationship Id="rId10" Type="http://schemas.openxmlformats.org/officeDocument/2006/relationships/hyperlink" Target="google-doc-templates/10-careers.docx" TargetMode="External"/><Relationship Id="rId4" Type="http://schemas.openxmlformats.org/officeDocument/2006/relationships/hyperlink" Target="google-doc-templates/04-local-business.docx" TargetMode="External"/><Relationship Id="rId9" Type="http://schemas.openxmlformats.org/officeDocument/2006/relationships/hyperlink" Target="google-doc-templates/09-faq.docx" TargetMode="External"/><Relationship Id="rId14" Type="http://schemas.openxmlformats.org/officeDocument/2006/relationships/hyperlink" Target="google-doc-templates/12-legal.do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A0A0A"/>
  </sheetPr>
  <dimension ref="A1:P111"/>
  <sheetViews>
    <sheetView tabSelected="1" workbookViewId="0">
      <pane ySplit="1" topLeftCell="A2" activePane="bottomLeft" state="frozen"/>
      <selection pane="bottomLeft" activeCell="A2" sqref="A2"/>
    </sheetView>
  </sheetViews>
  <sheetFormatPr defaultRowHeight="15" x14ac:dyDescent="0.25"/>
  <cols>
    <col min="2" max="2" width="17" customWidth="1"/>
    <col min="3" max="3" width="20" customWidth="1"/>
    <col min="4" max="4" width="32" customWidth="1"/>
    <col min="5" max="5" width="26" customWidth="1"/>
    <col min="6" max="6" width="12" customWidth="1"/>
    <col min="7" max="7" width="60" customWidth="1"/>
    <col min="8" max="8" width="46" customWidth="1"/>
    <col min="9" max="9" width="20" customWidth="1"/>
    <col min="10" max="10" width="22" customWidth="1"/>
    <col min="11" max="11" width="14" customWidth="1"/>
    <col min="12" max="12" width="34" customWidth="1"/>
    <col min="13" max="13" width="13" customWidth="1"/>
    <col min="14" max="14" width="24" customWidth="1"/>
    <col min="15" max="15" width="11" customWidth="1"/>
    <col min="16" max="16" width="26" customWidth="1"/>
  </cols>
  <sheetData>
    <row r="1" spans="1:16" s="1" customFormat="1" ht="21.95"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ht="60" x14ac:dyDescent="0.25">
      <c r="A2" t="s">
        <v>34</v>
      </c>
      <c r="B2" t="s">
        <v>35</v>
      </c>
      <c r="C2" t="s">
        <v>35</v>
      </c>
      <c r="D2" t="s">
        <v>36</v>
      </c>
      <c r="E2" t="s">
        <v>37</v>
      </c>
      <c r="F2" t="s">
        <v>38</v>
      </c>
      <c r="G2" s="3" t="s">
        <v>39</v>
      </c>
      <c r="H2" s="3" t="s">
        <v>40</v>
      </c>
      <c r="L2" s="3"/>
      <c r="M2" t="s">
        <v>41</v>
      </c>
      <c r="O2" s="4" t="s">
        <v>42</v>
      </c>
      <c r="P2" s="3" t="s">
        <v>24</v>
      </c>
    </row>
    <row r="3" spans="1:16" ht="30" x14ac:dyDescent="0.25">
      <c r="A3" t="s">
        <v>43</v>
      </c>
      <c r="B3" t="s">
        <v>35</v>
      </c>
      <c r="C3" t="s">
        <v>35</v>
      </c>
      <c r="D3" t="s">
        <v>36</v>
      </c>
      <c r="E3" t="s">
        <v>44</v>
      </c>
      <c r="F3" t="s">
        <v>45</v>
      </c>
      <c r="G3" s="3" t="s">
        <v>46</v>
      </c>
      <c r="H3" s="3"/>
      <c r="L3" s="3"/>
      <c r="M3" t="s">
        <v>22</v>
      </c>
      <c r="O3" s="4" t="s">
        <v>42</v>
      </c>
      <c r="P3" s="3" t="s">
        <v>24</v>
      </c>
    </row>
    <row r="4" spans="1:16" ht="60" x14ac:dyDescent="0.25">
      <c r="A4" t="s">
        <v>47</v>
      </c>
      <c r="B4" t="s">
        <v>35</v>
      </c>
      <c r="C4" t="s">
        <v>35</v>
      </c>
      <c r="D4" t="s">
        <v>36</v>
      </c>
      <c r="E4" t="s">
        <v>48</v>
      </c>
      <c r="F4" t="s">
        <v>49</v>
      </c>
      <c r="G4" s="3" t="s">
        <v>50</v>
      </c>
      <c r="H4" s="3" t="s">
        <v>51</v>
      </c>
      <c r="L4" s="3"/>
      <c r="M4" t="s">
        <v>41</v>
      </c>
      <c r="O4" s="4" t="s">
        <v>42</v>
      </c>
      <c r="P4" s="3" t="s">
        <v>24</v>
      </c>
    </row>
    <row r="5" spans="1:16" ht="180" x14ac:dyDescent="0.25">
      <c r="A5" t="s">
        <v>52</v>
      </c>
      <c r="B5" t="s">
        <v>35</v>
      </c>
      <c r="C5" t="s">
        <v>35</v>
      </c>
      <c r="D5" t="s">
        <v>36</v>
      </c>
      <c r="E5" t="s">
        <v>53</v>
      </c>
      <c r="F5" t="s">
        <v>49</v>
      </c>
      <c r="G5" s="3" t="s">
        <v>54</v>
      </c>
      <c r="H5" s="3"/>
      <c r="L5" s="3"/>
      <c r="M5" t="s">
        <v>22</v>
      </c>
      <c r="O5" s="4" t="s">
        <v>42</v>
      </c>
      <c r="P5" s="3" t="s">
        <v>55</v>
      </c>
    </row>
    <row r="6" spans="1:16" ht="75" x14ac:dyDescent="0.25">
      <c r="A6" t="s">
        <v>56</v>
      </c>
      <c r="B6" t="s">
        <v>57</v>
      </c>
      <c r="C6" t="s">
        <v>57</v>
      </c>
      <c r="D6" t="s">
        <v>58</v>
      </c>
      <c r="E6" t="s">
        <v>37</v>
      </c>
      <c r="F6" t="s">
        <v>38</v>
      </c>
      <c r="G6" s="3" t="s">
        <v>59</v>
      </c>
      <c r="H6" s="3" t="s">
        <v>60</v>
      </c>
      <c r="L6" s="3"/>
      <c r="M6" t="s">
        <v>41</v>
      </c>
      <c r="O6" s="4" t="s">
        <v>61</v>
      </c>
      <c r="P6" s="3" t="s">
        <v>24</v>
      </c>
    </row>
    <row r="7" spans="1:16" ht="90" x14ac:dyDescent="0.25">
      <c r="A7" t="s">
        <v>62</v>
      </c>
      <c r="B7" t="s">
        <v>57</v>
      </c>
      <c r="C7" t="s">
        <v>57</v>
      </c>
      <c r="D7" t="s">
        <v>58</v>
      </c>
      <c r="E7" t="s">
        <v>44</v>
      </c>
      <c r="F7" t="s">
        <v>45</v>
      </c>
      <c r="G7" s="3" t="s">
        <v>63</v>
      </c>
      <c r="H7" s="3" t="s">
        <v>64</v>
      </c>
      <c r="L7" s="3" t="s">
        <v>65</v>
      </c>
      <c r="M7" t="s">
        <v>41</v>
      </c>
      <c r="O7" s="4" t="s">
        <v>61</v>
      </c>
      <c r="P7" s="3" t="s">
        <v>24</v>
      </c>
    </row>
    <row r="8" spans="1:16" ht="195" x14ac:dyDescent="0.25">
      <c r="A8" t="s">
        <v>66</v>
      </c>
      <c r="B8" t="s">
        <v>57</v>
      </c>
      <c r="C8" t="s">
        <v>57</v>
      </c>
      <c r="D8" t="s">
        <v>58</v>
      </c>
      <c r="E8" t="s">
        <v>67</v>
      </c>
      <c r="F8" t="s">
        <v>49</v>
      </c>
      <c r="G8" s="3" t="s">
        <v>68</v>
      </c>
      <c r="H8" s="3"/>
      <c r="L8" s="3"/>
      <c r="M8" t="s">
        <v>22</v>
      </c>
      <c r="O8" s="4" t="s">
        <v>61</v>
      </c>
      <c r="P8" s="3" t="s">
        <v>24</v>
      </c>
    </row>
    <row r="9" spans="1:16" ht="345" x14ac:dyDescent="0.25">
      <c r="A9" t="s">
        <v>69</v>
      </c>
      <c r="B9" t="s">
        <v>57</v>
      </c>
      <c r="C9" t="s">
        <v>57</v>
      </c>
      <c r="D9" t="s">
        <v>58</v>
      </c>
      <c r="E9" t="s">
        <v>70</v>
      </c>
      <c r="F9" t="s">
        <v>49</v>
      </c>
      <c r="G9" s="3" t="s">
        <v>71</v>
      </c>
      <c r="H9" s="3"/>
      <c r="L9" s="3"/>
      <c r="M9" t="s">
        <v>22</v>
      </c>
      <c r="O9" s="4" t="s">
        <v>61</v>
      </c>
      <c r="P9" s="3" t="s">
        <v>24</v>
      </c>
    </row>
    <row r="10" spans="1:16" ht="409.5" x14ac:dyDescent="0.25">
      <c r="A10" t="s">
        <v>72</v>
      </c>
      <c r="B10" t="s">
        <v>57</v>
      </c>
      <c r="C10" t="s">
        <v>57</v>
      </c>
      <c r="D10" t="s">
        <v>58</v>
      </c>
      <c r="E10" t="s">
        <v>73</v>
      </c>
      <c r="F10" t="s">
        <v>49</v>
      </c>
      <c r="G10" s="3" t="s">
        <v>74</v>
      </c>
      <c r="H10" s="3"/>
      <c r="L10" s="3"/>
      <c r="M10" t="s">
        <v>22</v>
      </c>
      <c r="O10" s="4" t="s">
        <v>61</v>
      </c>
      <c r="P10" s="3" t="s">
        <v>24</v>
      </c>
    </row>
    <row r="11" spans="1:16" ht="270" x14ac:dyDescent="0.25">
      <c r="A11" t="s">
        <v>75</v>
      </c>
      <c r="B11" t="s">
        <v>57</v>
      </c>
      <c r="C11" t="s">
        <v>57</v>
      </c>
      <c r="D11" t="s">
        <v>58</v>
      </c>
      <c r="E11" t="s">
        <v>76</v>
      </c>
      <c r="F11" t="s">
        <v>49</v>
      </c>
      <c r="G11" s="3" t="s">
        <v>77</v>
      </c>
      <c r="H11" s="3"/>
      <c r="L11" s="3"/>
      <c r="M11" t="s">
        <v>22</v>
      </c>
      <c r="O11" s="4" t="s">
        <v>61</v>
      </c>
      <c r="P11" s="3" t="s">
        <v>24</v>
      </c>
    </row>
    <row r="12" spans="1:16" ht="255" x14ac:dyDescent="0.25">
      <c r="A12" t="s">
        <v>78</v>
      </c>
      <c r="B12" t="s">
        <v>57</v>
      </c>
      <c r="C12" t="s">
        <v>57</v>
      </c>
      <c r="D12" t="s">
        <v>58</v>
      </c>
      <c r="E12" t="s">
        <v>79</v>
      </c>
      <c r="F12" t="s">
        <v>49</v>
      </c>
      <c r="G12" s="3" t="s">
        <v>80</v>
      </c>
      <c r="H12" s="3"/>
      <c r="L12" s="3"/>
      <c r="M12" t="s">
        <v>22</v>
      </c>
      <c r="O12" s="4" t="s">
        <v>61</v>
      </c>
      <c r="P12" s="3" t="s">
        <v>24</v>
      </c>
    </row>
    <row r="13" spans="1:16" ht="210" x14ac:dyDescent="0.25">
      <c r="A13" t="s">
        <v>81</v>
      </c>
      <c r="B13" t="s">
        <v>57</v>
      </c>
      <c r="C13" t="s">
        <v>57</v>
      </c>
      <c r="D13" t="s">
        <v>58</v>
      </c>
      <c r="E13" t="s">
        <v>82</v>
      </c>
      <c r="F13" t="s">
        <v>32</v>
      </c>
      <c r="G13" s="3" t="s">
        <v>83</v>
      </c>
      <c r="H13" s="3"/>
      <c r="L13" s="3"/>
      <c r="M13" t="s">
        <v>22</v>
      </c>
      <c r="O13" s="4" t="s">
        <v>61</v>
      </c>
      <c r="P13" s="3" t="s">
        <v>24</v>
      </c>
    </row>
    <row r="14" spans="1:16" ht="75" x14ac:dyDescent="0.25">
      <c r="A14" t="s">
        <v>84</v>
      </c>
      <c r="B14" t="s">
        <v>85</v>
      </c>
      <c r="C14" t="s">
        <v>85</v>
      </c>
      <c r="D14" t="s">
        <v>86</v>
      </c>
      <c r="E14" t="s">
        <v>37</v>
      </c>
      <c r="F14" t="s">
        <v>38</v>
      </c>
      <c r="G14" s="3" t="s">
        <v>87</v>
      </c>
      <c r="H14" s="3" t="s">
        <v>88</v>
      </c>
      <c r="L14" s="3"/>
      <c r="M14" t="s">
        <v>41</v>
      </c>
      <c r="O14" s="4" t="s">
        <v>89</v>
      </c>
      <c r="P14" s="3" t="s">
        <v>24</v>
      </c>
    </row>
    <row r="15" spans="1:16" x14ac:dyDescent="0.25">
      <c r="A15" t="s">
        <v>90</v>
      </c>
      <c r="B15" t="s">
        <v>85</v>
      </c>
      <c r="C15" t="s">
        <v>85</v>
      </c>
      <c r="D15" t="s">
        <v>86</v>
      </c>
      <c r="E15" t="s">
        <v>44</v>
      </c>
      <c r="F15" t="s">
        <v>45</v>
      </c>
      <c r="G15" s="3" t="s">
        <v>91</v>
      </c>
      <c r="H15" s="3"/>
      <c r="L15" s="3"/>
      <c r="M15" t="s">
        <v>22</v>
      </c>
      <c r="O15" s="4" t="s">
        <v>89</v>
      </c>
      <c r="P15" s="3" t="s">
        <v>24</v>
      </c>
    </row>
    <row r="16" spans="1:16" ht="409.5" x14ac:dyDescent="0.25">
      <c r="A16" t="s">
        <v>92</v>
      </c>
      <c r="B16" t="s">
        <v>85</v>
      </c>
      <c r="C16" t="s">
        <v>85</v>
      </c>
      <c r="D16" t="s">
        <v>86</v>
      </c>
      <c r="E16" t="s">
        <v>93</v>
      </c>
      <c r="F16" t="s">
        <v>49</v>
      </c>
      <c r="G16" s="3" t="s">
        <v>94</v>
      </c>
      <c r="H16" s="3" t="s">
        <v>95</v>
      </c>
      <c r="L16" s="3" t="s">
        <v>96</v>
      </c>
      <c r="M16" t="s">
        <v>41</v>
      </c>
      <c r="O16" s="4" t="s">
        <v>89</v>
      </c>
      <c r="P16" s="3" t="s">
        <v>24</v>
      </c>
    </row>
    <row r="17" spans="1:16" ht="285" x14ac:dyDescent="0.25">
      <c r="A17" t="s">
        <v>97</v>
      </c>
      <c r="B17" t="s">
        <v>85</v>
      </c>
      <c r="C17" t="s">
        <v>85</v>
      </c>
      <c r="D17" t="s">
        <v>86</v>
      </c>
      <c r="E17" t="s">
        <v>98</v>
      </c>
      <c r="F17" t="s">
        <v>49</v>
      </c>
      <c r="G17" s="3" t="s">
        <v>99</v>
      </c>
      <c r="H17" s="3"/>
      <c r="L17" s="3"/>
      <c r="M17" t="s">
        <v>22</v>
      </c>
      <c r="O17" s="4" t="s">
        <v>89</v>
      </c>
      <c r="P17" s="3" t="s">
        <v>24</v>
      </c>
    </row>
    <row r="18" spans="1:16" ht="105" x14ac:dyDescent="0.25">
      <c r="A18" t="s">
        <v>100</v>
      </c>
      <c r="B18" t="s">
        <v>85</v>
      </c>
      <c r="C18" t="s">
        <v>85</v>
      </c>
      <c r="D18" t="s">
        <v>86</v>
      </c>
      <c r="E18" t="s">
        <v>101</v>
      </c>
      <c r="F18" t="s">
        <v>49</v>
      </c>
      <c r="G18" s="3" t="s">
        <v>102</v>
      </c>
      <c r="H18" s="3"/>
      <c r="L18" s="3"/>
      <c r="M18" t="s">
        <v>22</v>
      </c>
      <c r="O18" s="4" t="s">
        <v>89</v>
      </c>
      <c r="P18" s="3" t="s">
        <v>24</v>
      </c>
    </row>
    <row r="19" spans="1:16" ht="180" x14ac:dyDescent="0.25">
      <c r="A19" t="s">
        <v>103</v>
      </c>
      <c r="B19" t="s">
        <v>85</v>
      </c>
      <c r="C19" t="s">
        <v>85</v>
      </c>
      <c r="D19" t="s">
        <v>86</v>
      </c>
      <c r="E19" t="s">
        <v>104</v>
      </c>
      <c r="F19" t="s">
        <v>49</v>
      </c>
      <c r="G19" s="3" t="s">
        <v>105</v>
      </c>
      <c r="H19" s="3"/>
      <c r="L19" s="3"/>
      <c r="M19" t="s">
        <v>22</v>
      </c>
      <c r="O19" s="4" t="s">
        <v>89</v>
      </c>
      <c r="P19" s="3" t="s">
        <v>24</v>
      </c>
    </row>
    <row r="20" spans="1:16" ht="60" x14ac:dyDescent="0.25">
      <c r="A20" t="s">
        <v>106</v>
      </c>
      <c r="B20" t="s">
        <v>107</v>
      </c>
      <c r="C20" t="s">
        <v>107</v>
      </c>
      <c r="D20" t="s">
        <v>108</v>
      </c>
      <c r="E20" t="s">
        <v>37</v>
      </c>
      <c r="F20" t="s">
        <v>38</v>
      </c>
      <c r="G20" s="3" t="s">
        <v>109</v>
      </c>
      <c r="H20" s="3" t="s">
        <v>110</v>
      </c>
      <c r="L20" s="3"/>
      <c r="M20" t="s">
        <v>41</v>
      </c>
      <c r="O20" s="4" t="s">
        <v>111</v>
      </c>
      <c r="P20" s="3" t="s">
        <v>112</v>
      </c>
    </row>
    <row r="21" spans="1:16" x14ac:dyDescent="0.25">
      <c r="A21" t="s">
        <v>113</v>
      </c>
      <c r="B21" t="s">
        <v>107</v>
      </c>
      <c r="C21" t="s">
        <v>107</v>
      </c>
      <c r="D21" t="s">
        <v>108</v>
      </c>
      <c r="E21" t="s">
        <v>114</v>
      </c>
      <c r="F21" t="s">
        <v>45</v>
      </c>
      <c r="G21" s="3" t="s">
        <v>115</v>
      </c>
      <c r="H21" s="3"/>
      <c r="L21" s="3"/>
      <c r="M21" t="s">
        <v>22</v>
      </c>
      <c r="O21" s="4" t="s">
        <v>111</v>
      </c>
      <c r="P21" s="3" t="s">
        <v>24</v>
      </c>
    </row>
    <row r="22" spans="1:16" ht="375" x14ac:dyDescent="0.25">
      <c r="A22" t="s">
        <v>116</v>
      </c>
      <c r="B22" t="s">
        <v>107</v>
      </c>
      <c r="C22" t="s">
        <v>107</v>
      </c>
      <c r="D22" t="s">
        <v>108</v>
      </c>
      <c r="E22" t="s">
        <v>117</v>
      </c>
      <c r="F22" t="s">
        <v>49</v>
      </c>
      <c r="G22" s="3" t="s">
        <v>118</v>
      </c>
      <c r="H22" s="3" t="s">
        <v>119</v>
      </c>
      <c r="L22" s="3" t="s">
        <v>120</v>
      </c>
      <c r="M22" t="s">
        <v>41</v>
      </c>
      <c r="O22" s="4" t="s">
        <v>111</v>
      </c>
      <c r="P22" s="3" t="s">
        <v>24</v>
      </c>
    </row>
    <row r="23" spans="1:16" ht="330" x14ac:dyDescent="0.25">
      <c r="A23" t="s">
        <v>121</v>
      </c>
      <c r="B23" t="s">
        <v>107</v>
      </c>
      <c r="C23" t="s">
        <v>107</v>
      </c>
      <c r="D23" t="s">
        <v>108</v>
      </c>
      <c r="E23" t="s">
        <v>122</v>
      </c>
      <c r="F23" t="s">
        <v>49</v>
      </c>
      <c r="G23" s="3" t="s">
        <v>123</v>
      </c>
      <c r="H23" s="3" t="s">
        <v>124</v>
      </c>
      <c r="L23" s="3"/>
      <c r="M23" t="s">
        <v>41</v>
      </c>
      <c r="O23" s="4" t="s">
        <v>111</v>
      </c>
      <c r="P23" s="3" t="s">
        <v>24</v>
      </c>
    </row>
    <row r="24" spans="1:16" ht="375" x14ac:dyDescent="0.25">
      <c r="A24" t="s">
        <v>125</v>
      </c>
      <c r="B24" t="s">
        <v>107</v>
      </c>
      <c r="C24" t="s">
        <v>107</v>
      </c>
      <c r="D24" t="s">
        <v>108</v>
      </c>
      <c r="E24" t="s">
        <v>126</v>
      </c>
      <c r="F24" t="s">
        <v>49</v>
      </c>
      <c r="G24" s="3" t="s">
        <v>127</v>
      </c>
      <c r="H24" s="3"/>
      <c r="L24" s="3"/>
      <c r="M24" t="s">
        <v>22</v>
      </c>
      <c r="O24" s="4" t="s">
        <v>111</v>
      </c>
      <c r="P24" s="3" t="s">
        <v>24</v>
      </c>
    </row>
    <row r="25" spans="1:16" ht="90" x14ac:dyDescent="0.25">
      <c r="A25" t="s">
        <v>128</v>
      </c>
      <c r="B25" t="s">
        <v>107</v>
      </c>
      <c r="C25" t="s">
        <v>107</v>
      </c>
      <c r="D25" t="s">
        <v>108</v>
      </c>
      <c r="E25" t="s">
        <v>129</v>
      </c>
      <c r="F25" t="s">
        <v>49</v>
      </c>
      <c r="G25" s="3" t="s">
        <v>130</v>
      </c>
      <c r="H25" s="3"/>
      <c r="L25" s="3"/>
      <c r="M25" t="s">
        <v>22</v>
      </c>
      <c r="O25" s="4" t="s">
        <v>111</v>
      </c>
      <c r="P25" s="3" t="s">
        <v>24</v>
      </c>
    </row>
    <row r="26" spans="1:16" ht="60" x14ac:dyDescent="0.25">
      <c r="A26" t="s">
        <v>131</v>
      </c>
      <c r="B26" t="s">
        <v>132</v>
      </c>
      <c r="C26" t="s">
        <v>132</v>
      </c>
      <c r="D26" t="s">
        <v>133</v>
      </c>
      <c r="E26" t="s">
        <v>37</v>
      </c>
      <c r="F26" t="s">
        <v>38</v>
      </c>
      <c r="G26" s="3" t="s">
        <v>134</v>
      </c>
      <c r="H26" s="3" t="s">
        <v>135</v>
      </c>
      <c r="L26" s="3"/>
      <c r="M26" t="s">
        <v>41</v>
      </c>
      <c r="O26" s="4" t="s">
        <v>136</v>
      </c>
      <c r="P26" s="3" t="s">
        <v>24</v>
      </c>
    </row>
    <row r="27" spans="1:16" x14ac:dyDescent="0.25">
      <c r="A27" t="s">
        <v>137</v>
      </c>
      <c r="B27" t="s">
        <v>132</v>
      </c>
      <c r="C27" t="s">
        <v>132</v>
      </c>
      <c r="D27" t="s">
        <v>133</v>
      </c>
      <c r="E27" t="s">
        <v>114</v>
      </c>
      <c r="F27" t="s">
        <v>45</v>
      </c>
      <c r="G27" s="3" t="s">
        <v>138</v>
      </c>
      <c r="H27" s="3"/>
      <c r="L27" s="3"/>
      <c r="M27" t="s">
        <v>22</v>
      </c>
      <c r="O27" s="4" t="s">
        <v>136</v>
      </c>
      <c r="P27" s="3" t="s">
        <v>24</v>
      </c>
    </row>
    <row r="28" spans="1:16" ht="135" x14ac:dyDescent="0.25">
      <c r="A28" t="s">
        <v>139</v>
      </c>
      <c r="B28" t="s">
        <v>132</v>
      </c>
      <c r="C28" t="s">
        <v>132</v>
      </c>
      <c r="D28" t="s">
        <v>133</v>
      </c>
      <c r="E28" t="s">
        <v>140</v>
      </c>
      <c r="F28" t="s">
        <v>49</v>
      </c>
      <c r="G28" s="3" t="s">
        <v>141</v>
      </c>
      <c r="H28" s="3" t="s">
        <v>142</v>
      </c>
      <c r="L28" s="3" t="s">
        <v>143</v>
      </c>
      <c r="M28" t="s">
        <v>41</v>
      </c>
      <c r="O28" s="4" t="s">
        <v>136</v>
      </c>
      <c r="P28" s="3" t="s">
        <v>24</v>
      </c>
    </row>
    <row r="29" spans="1:16" ht="120" x14ac:dyDescent="0.25">
      <c r="A29" t="s">
        <v>144</v>
      </c>
      <c r="B29" t="s">
        <v>132</v>
      </c>
      <c r="C29" t="s">
        <v>132</v>
      </c>
      <c r="D29" t="s">
        <v>133</v>
      </c>
      <c r="E29" t="s">
        <v>145</v>
      </c>
      <c r="F29" t="s">
        <v>49</v>
      </c>
      <c r="G29" s="3" t="s">
        <v>146</v>
      </c>
      <c r="H29" s="3"/>
      <c r="L29" s="3"/>
      <c r="M29" t="s">
        <v>22</v>
      </c>
      <c r="O29" s="4" t="s">
        <v>136</v>
      </c>
      <c r="P29" s="3" t="s">
        <v>24</v>
      </c>
    </row>
    <row r="30" spans="1:16" ht="120" x14ac:dyDescent="0.25">
      <c r="A30" t="s">
        <v>147</v>
      </c>
      <c r="B30" t="s">
        <v>132</v>
      </c>
      <c r="C30" t="s">
        <v>132</v>
      </c>
      <c r="D30" t="s">
        <v>133</v>
      </c>
      <c r="E30" t="s">
        <v>148</v>
      </c>
      <c r="F30" t="s">
        <v>49</v>
      </c>
      <c r="G30" s="3" t="s">
        <v>149</v>
      </c>
      <c r="H30" s="3"/>
      <c r="L30" s="3"/>
      <c r="M30" t="s">
        <v>22</v>
      </c>
      <c r="O30" s="4" t="s">
        <v>136</v>
      </c>
      <c r="P30" s="3" t="s">
        <v>24</v>
      </c>
    </row>
    <row r="31" spans="1:16" ht="120" x14ac:dyDescent="0.25">
      <c r="A31" t="s">
        <v>150</v>
      </c>
      <c r="B31" t="s">
        <v>132</v>
      </c>
      <c r="C31" t="s">
        <v>132</v>
      </c>
      <c r="D31" t="s">
        <v>133</v>
      </c>
      <c r="E31" t="s">
        <v>151</v>
      </c>
      <c r="F31" t="s">
        <v>49</v>
      </c>
      <c r="G31" s="3" t="s">
        <v>152</v>
      </c>
      <c r="H31" s="3"/>
      <c r="L31" s="3"/>
      <c r="M31" t="s">
        <v>22</v>
      </c>
      <c r="O31" s="4" t="s">
        <v>136</v>
      </c>
      <c r="P31" s="3" t="s">
        <v>24</v>
      </c>
    </row>
    <row r="32" spans="1:16" ht="300" x14ac:dyDescent="0.25">
      <c r="A32" t="s">
        <v>153</v>
      </c>
      <c r="B32" t="s">
        <v>132</v>
      </c>
      <c r="C32" t="s">
        <v>132</v>
      </c>
      <c r="D32" t="s">
        <v>133</v>
      </c>
      <c r="E32" t="s">
        <v>154</v>
      </c>
      <c r="F32" t="s">
        <v>32</v>
      </c>
      <c r="G32" s="3" t="s">
        <v>155</v>
      </c>
      <c r="H32" s="3"/>
      <c r="L32" s="3"/>
      <c r="M32" t="s">
        <v>22</v>
      </c>
      <c r="O32" s="4" t="s">
        <v>136</v>
      </c>
      <c r="P32" s="3" t="s">
        <v>24</v>
      </c>
    </row>
    <row r="33" spans="1:16" ht="60" x14ac:dyDescent="0.25">
      <c r="A33" t="s">
        <v>156</v>
      </c>
      <c r="B33" t="s">
        <v>157</v>
      </c>
      <c r="C33" t="s">
        <v>157</v>
      </c>
      <c r="D33" t="s">
        <v>158</v>
      </c>
      <c r="E33" t="s">
        <v>37</v>
      </c>
      <c r="F33" t="s">
        <v>38</v>
      </c>
      <c r="G33" s="3" t="s">
        <v>159</v>
      </c>
      <c r="H33" s="3" t="s">
        <v>160</v>
      </c>
      <c r="L33" s="3"/>
      <c r="M33" t="s">
        <v>41</v>
      </c>
      <c r="O33" s="4" t="s">
        <v>161</v>
      </c>
      <c r="P33" s="3" t="s">
        <v>162</v>
      </c>
    </row>
    <row r="34" spans="1:16" x14ac:dyDescent="0.25">
      <c r="A34" t="s">
        <v>163</v>
      </c>
      <c r="B34" t="s">
        <v>157</v>
      </c>
      <c r="C34" t="s">
        <v>157</v>
      </c>
      <c r="D34" t="s">
        <v>158</v>
      </c>
      <c r="E34" t="s">
        <v>114</v>
      </c>
      <c r="F34" t="s">
        <v>45</v>
      </c>
      <c r="G34" s="3" t="s">
        <v>164</v>
      </c>
      <c r="H34" s="3"/>
      <c r="L34" s="3"/>
      <c r="M34" t="s">
        <v>22</v>
      </c>
      <c r="O34" s="4" t="s">
        <v>161</v>
      </c>
      <c r="P34" s="3" t="s">
        <v>24</v>
      </c>
    </row>
    <row r="35" spans="1:16" ht="135" x14ac:dyDescent="0.25">
      <c r="A35" t="s">
        <v>165</v>
      </c>
      <c r="B35" t="s">
        <v>157</v>
      </c>
      <c r="C35" t="s">
        <v>157</v>
      </c>
      <c r="D35" t="s">
        <v>158</v>
      </c>
      <c r="E35" t="s">
        <v>166</v>
      </c>
      <c r="F35" t="s">
        <v>49</v>
      </c>
      <c r="G35" s="3" t="s">
        <v>167</v>
      </c>
      <c r="H35" s="3"/>
      <c r="L35" s="3"/>
      <c r="M35" t="s">
        <v>22</v>
      </c>
      <c r="O35" s="4" t="s">
        <v>161</v>
      </c>
      <c r="P35" s="3" t="s">
        <v>168</v>
      </c>
    </row>
    <row r="36" spans="1:16" ht="120" x14ac:dyDescent="0.25">
      <c r="A36" t="s">
        <v>169</v>
      </c>
      <c r="B36" t="s">
        <v>157</v>
      </c>
      <c r="C36" t="s">
        <v>157</v>
      </c>
      <c r="D36" t="s">
        <v>158</v>
      </c>
      <c r="E36" t="s">
        <v>170</v>
      </c>
      <c r="F36" t="s">
        <v>49</v>
      </c>
      <c r="G36" s="3" t="s">
        <v>171</v>
      </c>
      <c r="H36" s="3" t="s">
        <v>172</v>
      </c>
      <c r="L36" s="3" t="s">
        <v>173</v>
      </c>
      <c r="M36" t="s">
        <v>41</v>
      </c>
      <c r="O36" s="4" t="s">
        <v>161</v>
      </c>
      <c r="P36" s="3" t="s">
        <v>24</v>
      </c>
    </row>
    <row r="37" spans="1:16" ht="105" x14ac:dyDescent="0.25">
      <c r="A37" t="s">
        <v>174</v>
      </c>
      <c r="B37" t="s">
        <v>157</v>
      </c>
      <c r="C37" t="s">
        <v>157</v>
      </c>
      <c r="D37" t="s">
        <v>158</v>
      </c>
      <c r="E37" t="s">
        <v>175</v>
      </c>
      <c r="F37" t="s">
        <v>49</v>
      </c>
      <c r="G37" s="3" t="s">
        <v>176</v>
      </c>
      <c r="H37" s="3"/>
      <c r="L37" s="3"/>
      <c r="M37" t="s">
        <v>22</v>
      </c>
      <c r="O37" s="4" t="s">
        <v>161</v>
      </c>
      <c r="P37" s="3" t="s">
        <v>24</v>
      </c>
    </row>
    <row r="38" spans="1:16" ht="120" x14ac:dyDescent="0.25">
      <c r="A38" t="s">
        <v>177</v>
      </c>
      <c r="B38" t="s">
        <v>157</v>
      </c>
      <c r="C38" t="s">
        <v>157</v>
      </c>
      <c r="D38" t="s">
        <v>158</v>
      </c>
      <c r="E38" t="s">
        <v>178</v>
      </c>
      <c r="F38" t="s">
        <v>32</v>
      </c>
      <c r="G38" s="3" t="s">
        <v>179</v>
      </c>
      <c r="H38" s="3"/>
      <c r="L38" s="3"/>
      <c r="M38" t="s">
        <v>22</v>
      </c>
      <c r="O38" s="4" t="s">
        <v>161</v>
      </c>
      <c r="P38" s="3" t="s">
        <v>24</v>
      </c>
    </row>
    <row r="39" spans="1:16" ht="300" x14ac:dyDescent="0.25">
      <c r="A39" t="s">
        <v>180</v>
      </c>
      <c r="B39" t="s">
        <v>157</v>
      </c>
      <c r="C39" t="s">
        <v>157</v>
      </c>
      <c r="D39" t="s">
        <v>158</v>
      </c>
      <c r="E39" t="s">
        <v>154</v>
      </c>
      <c r="F39" t="s">
        <v>32</v>
      </c>
      <c r="G39" s="3" t="s">
        <v>181</v>
      </c>
      <c r="H39" s="3"/>
      <c r="L39" s="3"/>
      <c r="M39" t="s">
        <v>22</v>
      </c>
      <c r="O39" s="4" t="s">
        <v>161</v>
      </c>
      <c r="P39" s="3" t="s">
        <v>24</v>
      </c>
    </row>
    <row r="40" spans="1:16" ht="75" x14ac:dyDescent="0.25">
      <c r="A40" t="s">
        <v>182</v>
      </c>
      <c r="B40" t="s">
        <v>183</v>
      </c>
      <c r="C40" t="s">
        <v>183</v>
      </c>
      <c r="D40" t="s">
        <v>184</v>
      </c>
      <c r="E40" t="s">
        <v>37</v>
      </c>
      <c r="F40" t="s">
        <v>38</v>
      </c>
      <c r="G40" s="3" t="s">
        <v>185</v>
      </c>
      <c r="H40" s="3" t="s">
        <v>186</v>
      </c>
      <c r="L40" s="3"/>
      <c r="M40" t="s">
        <v>41</v>
      </c>
      <c r="O40" s="4" t="s">
        <v>187</v>
      </c>
      <c r="P40" s="3" t="s">
        <v>24</v>
      </c>
    </row>
    <row r="41" spans="1:16" x14ac:dyDescent="0.25">
      <c r="A41" t="s">
        <v>188</v>
      </c>
      <c r="B41" t="s">
        <v>183</v>
      </c>
      <c r="C41" t="s">
        <v>183</v>
      </c>
      <c r="D41" t="s">
        <v>184</v>
      </c>
      <c r="E41" t="s">
        <v>114</v>
      </c>
      <c r="F41" t="s">
        <v>45</v>
      </c>
      <c r="G41" s="3" t="s">
        <v>189</v>
      </c>
      <c r="H41" s="3"/>
      <c r="L41" s="3"/>
      <c r="M41" t="s">
        <v>22</v>
      </c>
      <c r="O41" s="4" t="s">
        <v>187</v>
      </c>
      <c r="P41" s="3" t="s">
        <v>24</v>
      </c>
    </row>
    <row r="42" spans="1:16" ht="135" x14ac:dyDescent="0.25">
      <c r="A42" t="s">
        <v>190</v>
      </c>
      <c r="B42" t="s">
        <v>183</v>
      </c>
      <c r="C42" t="s">
        <v>183</v>
      </c>
      <c r="D42" t="s">
        <v>184</v>
      </c>
      <c r="E42" t="s">
        <v>191</v>
      </c>
      <c r="F42" t="s">
        <v>49</v>
      </c>
      <c r="G42" s="3" t="s">
        <v>192</v>
      </c>
      <c r="H42" s="3"/>
      <c r="L42" s="3"/>
      <c r="M42" t="s">
        <v>22</v>
      </c>
      <c r="O42" s="4" t="s">
        <v>187</v>
      </c>
      <c r="P42" s="3" t="s">
        <v>24</v>
      </c>
    </row>
    <row r="43" spans="1:16" ht="135" x14ac:dyDescent="0.25">
      <c r="A43" t="s">
        <v>193</v>
      </c>
      <c r="B43" t="s">
        <v>183</v>
      </c>
      <c r="C43" t="s">
        <v>183</v>
      </c>
      <c r="D43" t="s">
        <v>184</v>
      </c>
      <c r="E43" t="s">
        <v>194</v>
      </c>
      <c r="F43" t="s">
        <v>49</v>
      </c>
      <c r="G43" s="3" t="s">
        <v>195</v>
      </c>
      <c r="H43" s="3"/>
      <c r="L43" s="3"/>
      <c r="M43" t="s">
        <v>22</v>
      </c>
      <c r="O43" s="4" t="s">
        <v>187</v>
      </c>
      <c r="P43" s="3" t="s">
        <v>24</v>
      </c>
    </row>
    <row r="44" spans="1:16" ht="120" x14ac:dyDescent="0.25">
      <c r="A44" t="s">
        <v>196</v>
      </c>
      <c r="B44" t="s">
        <v>183</v>
      </c>
      <c r="C44" t="s">
        <v>183</v>
      </c>
      <c r="D44" t="s">
        <v>184</v>
      </c>
      <c r="E44" t="s">
        <v>197</v>
      </c>
      <c r="F44" t="s">
        <v>49</v>
      </c>
      <c r="G44" s="3" t="s">
        <v>198</v>
      </c>
      <c r="H44" s="3"/>
      <c r="L44" s="3"/>
      <c r="M44" t="s">
        <v>22</v>
      </c>
      <c r="O44" s="4" t="s">
        <v>187</v>
      </c>
      <c r="P44" s="3" t="s">
        <v>24</v>
      </c>
    </row>
    <row r="45" spans="1:16" ht="150" x14ac:dyDescent="0.25">
      <c r="A45" t="s">
        <v>199</v>
      </c>
      <c r="B45" t="s">
        <v>183</v>
      </c>
      <c r="C45" t="s">
        <v>183</v>
      </c>
      <c r="D45" t="s">
        <v>184</v>
      </c>
      <c r="E45" t="s">
        <v>200</v>
      </c>
      <c r="F45" t="s">
        <v>49</v>
      </c>
      <c r="G45" s="3" t="s">
        <v>201</v>
      </c>
      <c r="H45" s="3" t="s">
        <v>202</v>
      </c>
      <c r="L45" s="3" t="s">
        <v>203</v>
      </c>
      <c r="M45" t="s">
        <v>41</v>
      </c>
      <c r="O45" s="4" t="s">
        <v>187</v>
      </c>
      <c r="P45" s="3" t="s">
        <v>24</v>
      </c>
    </row>
    <row r="46" spans="1:16" ht="300" x14ac:dyDescent="0.25">
      <c r="A46" t="s">
        <v>204</v>
      </c>
      <c r="B46" t="s">
        <v>183</v>
      </c>
      <c r="C46" t="s">
        <v>183</v>
      </c>
      <c r="D46" t="s">
        <v>184</v>
      </c>
      <c r="E46" t="s">
        <v>154</v>
      </c>
      <c r="F46" t="s">
        <v>32</v>
      </c>
      <c r="G46" s="3" t="s">
        <v>181</v>
      </c>
      <c r="H46" s="3"/>
      <c r="L46" s="3"/>
      <c r="M46" t="s">
        <v>22</v>
      </c>
      <c r="O46" s="4" t="s">
        <v>187</v>
      </c>
      <c r="P46" s="3" t="s">
        <v>24</v>
      </c>
    </row>
    <row r="47" spans="1:16" ht="60" x14ac:dyDescent="0.25">
      <c r="A47" t="s">
        <v>205</v>
      </c>
      <c r="B47" t="s">
        <v>206</v>
      </c>
      <c r="C47" t="s">
        <v>206</v>
      </c>
      <c r="D47" t="s">
        <v>207</v>
      </c>
      <c r="E47" t="s">
        <v>37</v>
      </c>
      <c r="F47" t="s">
        <v>38</v>
      </c>
      <c r="G47" s="3" t="s">
        <v>208</v>
      </c>
      <c r="H47" s="3" t="s">
        <v>209</v>
      </c>
      <c r="L47" s="3"/>
      <c r="M47" t="s">
        <v>41</v>
      </c>
      <c r="O47" s="4" t="s">
        <v>210</v>
      </c>
      <c r="P47" s="3" t="s">
        <v>24</v>
      </c>
    </row>
    <row r="48" spans="1:16" x14ac:dyDescent="0.25">
      <c r="A48" t="s">
        <v>211</v>
      </c>
      <c r="B48" t="s">
        <v>206</v>
      </c>
      <c r="C48" t="s">
        <v>206</v>
      </c>
      <c r="D48" t="s">
        <v>207</v>
      </c>
      <c r="E48" t="s">
        <v>114</v>
      </c>
      <c r="F48" t="s">
        <v>45</v>
      </c>
      <c r="G48" s="3" t="s">
        <v>212</v>
      </c>
      <c r="H48" s="3"/>
      <c r="L48" s="3"/>
      <c r="M48" t="s">
        <v>22</v>
      </c>
      <c r="O48" s="4" t="s">
        <v>210</v>
      </c>
      <c r="P48" s="3" t="s">
        <v>24</v>
      </c>
    </row>
    <row r="49" spans="1:16" ht="150" x14ac:dyDescent="0.25">
      <c r="A49" t="s">
        <v>213</v>
      </c>
      <c r="B49" t="s">
        <v>206</v>
      </c>
      <c r="C49" t="s">
        <v>206</v>
      </c>
      <c r="D49" t="s">
        <v>207</v>
      </c>
      <c r="E49" t="s">
        <v>214</v>
      </c>
      <c r="F49" t="s">
        <v>49</v>
      </c>
      <c r="G49" s="3" t="s">
        <v>215</v>
      </c>
      <c r="H49" s="3"/>
      <c r="L49" s="3"/>
      <c r="M49" t="s">
        <v>22</v>
      </c>
      <c r="O49" s="4" t="s">
        <v>210</v>
      </c>
      <c r="P49" s="3" t="s">
        <v>24</v>
      </c>
    </row>
    <row r="50" spans="1:16" ht="135" x14ac:dyDescent="0.25">
      <c r="A50" t="s">
        <v>216</v>
      </c>
      <c r="B50" t="s">
        <v>206</v>
      </c>
      <c r="C50" t="s">
        <v>206</v>
      </c>
      <c r="D50" t="s">
        <v>207</v>
      </c>
      <c r="E50" t="s">
        <v>217</v>
      </c>
      <c r="F50" t="s">
        <v>49</v>
      </c>
      <c r="G50" s="3" t="s">
        <v>218</v>
      </c>
      <c r="H50" s="3" t="s">
        <v>219</v>
      </c>
      <c r="L50" s="3" t="s">
        <v>220</v>
      </c>
      <c r="M50" t="s">
        <v>41</v>
      </c>
      <c r="O50" s="4" t="s">
        <v>210</v>
      </c>
      <c r="P50" s="3" t="s">
        <v>24</v>
      </c>
    </row>
    <row r="51" spans="1:16" ht="105" x14ac:dyDescent="0.25">
      <c r="A51" t="s">
        <v>221</v>
      </c>
      <c r="B51" t="s">
        <v>206</v>
      </c>
      <c r="C51" t="s">
        <v>206</v>
      </c>
      <c r="D51" t="s">
        <v>207</v>
      </c>
      <c r="E51" t="s">
        <v>222</v>
      </c>
      <c r="F51" t="s">
        <v>49</v>
      </c>
      <c r="G51" s="3" t="s">
        <v>223</v>
      </c>
      <c r="H51" s="3"/>
      <c r="L51" s="3"/>
      <c r="M51" t="s">
        <v>22</v>
      </c>
      <c r="O51" s="4" t="s">
        <v>210</v>
      </c>
      <c r="P51" s="3" t="s">
        <v>24</v>
      </c>
    </row>
    <row r="52" spans="1:16" ht="120" x14ac:dyDescent="0.25">
      <c r="A52" t="s">
        <v>224</v>
      </c>
      <c r="B52" t="s">
        <v>206</v>
      </c>
      <c r="C52" t="s">
        <v>206</v>
      </c>
      <c r="D52" t="s">
        <v>207</v>
      </c>
      <c r="E52" t="s">
        <v>225</v>
      </c>
      <c r="F52" t="s">
        <v>49</v>
      </c>
      <c r="G52" s="3" t="s">
        <v>226</v>
      </c>
      <c r="H52" s="3"/>
      <c r="L52" s="3"/>
      <c r="M52" t="s">
        <v>22</v>
      </c>
      <c r="O52" s="4" t="s">
        <v>210</v>
      </c>
      <c r="P52" s="3" t="s">
        <v>24</v>
      </c>
    </row>
    <row r="53" spans="1:16" ht="300" x14ac:dyDescent="0.25">
      <c r="A53" t="s">
        <v>227</v>
      </c>
      <c r="B53" t="s">
        <v>206</v>
      </c>
      <c r="C53" t="s">
        <v>206</v>
      </c>
      <c r="D53" t="s">
        <v>207</v>
      </c>
      <c r="E53" t="s">
        <v>154</v>
      </c>
      <c r="F53" t="s">
        <v>32</v>
      </c>
      <c r="G53" s="3" t="s">
        <v>155</v>
      </c>
      <c r="H53" s="3"/>
      <c r="L53" s="3"/>
      <c r="M53" t="s">
        <v>22</v>
      </c>
      <c r="O53" s="4" t="s">
        <v>210</v>
      </c>
      <c r="P53" s="3" t="s">
        <v>24</v>
      </c>
    </row>
    <row r="54" spans="1:16" ht="60" x14ac:dyDescent="0.25">
      <c r="A54" t="s">
        <v>228</v>
      </c>
      <c r="B54" t="s">
        <v>229</v>
      </c>
      <c r="C54" t="s">
        <v>229</v>
      </c>
      <c r="D54" t="s">
        <v>230</v>
      </c>
      <c r="E54" t="s">
        <v>37</v>
      </c>
      <c r="F54" t="s">
        <v>38</v>
      </c>
      <c r="G54" s="3" t="s">
        <v>231</v>
      </c>
      <c r="H54" s="3" t="s">
        <v>232</v>
      </c>
      <c r="L54" s="3"/>
      <c r="M54" t="s">
        <v>41</v>
      </c>
      <c r="O54" s="4" t="s">
        <v>233</v>
      </c>
      <c r="P54" s="3" t="s">
        <v>24</v>
      </c>
    </row>
    <row r="55" spans="1:16" x14ac:dyDescent="0.25">
      <c r="A55" t="s">
        <v>234</v>
      </c>
      <c r="B55" t="s">
        <v>229</v>
      </c>
      <c r="C55" t="s">
        <v>229</v>
      </c>
      <c r="D55" t="s">
        <v>230</v>
      </c>
      <c r="E55" t="s">
        <v>44</v>
      </c>
      <c r="F55" t="s">
        <v>45</v>
      </c>
      <c r="G55" s="3" t="s">
        <v>235</v>
      </c>
      <c r="H55" s="3"/>
      <c r="L55" s="3"/>
      <c r="M55" t="s">
        <v>22</v>
      </c>
      <c r="O55" s="4" t="s">
        <v>233</v>
      </c>
      <c r="P55" s="3" t="s">
        <v>24</v>
      </c>
    </row>
    <row r="56" spans="1:16" ht="180" x14ac:dyDescent="0.25">
      <c r="A56" t="s">
        <v>236</v>
      </c>
      <c r="B56" t="s">
        <v>229</v>
      </c>
      <c r="C56" t="s">
        <v>229</v>
      </c>
      <c r="D56" t="s">
        <v>230</v>
      </c>
      <c r="E56" t="s">
        <v>48</v>
      </c>
      <c r="F56" t="s">
        <v>49</v>
      </c>
      <c r="G56" s="3" t="s">
        <v>237</v>
      </c>
      <c r="H56" s="3" t="s">
        <v>238</v>
      </c>
      <c r="L56" s="3"/>
      <c r="M56" t="s">
        <v>41</v>
      </c>
      <c r="O56" s="4" t="s">
        <v>233</v>
      </c>
      <c r="P56" s="3" t="s">
        <v>24</v>
      </c>
    </row>
    <row r="57" spans="1:16" ht="195" x14ac:dyDescent="0.25">
      <c r="A57" t="s">
        <v>239</v>
      </c>
      <c r="B57" t="s">
        <v>229</v>
      </c>
      <c r="C57" t="s">
        <v>229</v>
      </c>
      <c r="D57" t="s">
        <v>230</v>
      </c>
      <c r="E57" t="s">
        <v>240</v>
      </c>
      <c r="F57" t="s">
        <v>49</v>
      </c>
      <c r="G57" s="3" t="s">
        <v>241</v>
      </c>
      <c r="H57" s="3"/>
      <c r="L57" s="3"/>
      <c r="M57" t="s">
        <v>22</v>
      </c>
      <c r="O57" s="4" t="s">
        <v>233</v>
      </c>
      <c r="P57" s="3" t="s">
        <v>24</v>
      </c>
    </row>
    <row r="58" spans="1:16" ht="45" x14ac:dyDescent="0.25">
      <c r="A58" t="s">
        <v>242</v>
      </c>
      <c r="B58" t="s">
        <v>229</v>
      </c>
      <c r="C58" t="s">
        <v>243</v>
      </c>
      <c r="D58" t="s">
        <v>244</v>
      </c>
      <c r="E58" t="s">
        <v>245</v>
      </c>
      <c r="F58" t="s">
        <v>246</v>
      </c>
      <c r="G58" s="3" t="s">
        <v>247</v>
      </c>
      <c r="H58" s="3"/>
      <c r="L58" s="3"/>
      <c r="M58" t="s">
        <v>22</v>
      </c>
      <c r="O58" s="4" t="s">
        <v>233</v>
      </c>
      <c r="P58" s="3" t="s">
        <v>24</v>
      </c>
    </row>
    <row r="59" spans="1:16" ht="75" x14ac:dyDescent="0.25">
      <c r="A59" t="s">
        <v>248</v>
      </c>
      <c r="B59" t="s">
        <v>249</v>
      </c>
      <c r="C59" t="s">
        <v>249</v>
      </c>
      <c r="D59" t="s">
        <v>250</v>
      </c>
      <c r="E59" t="s">
        <v>37</v>
      </c>
      <c r="F59" t="s">
        <v>38</v>
      </c>
      <c r="G59" s="3" t="s">
        <v>251</v>
      </c>
      <c r="H59" s="3" t="s">
        <v>252</v>
      </c>
      <c r="L59" s="3"/>
      <c r="M59" t="s">
        <v>41</v>
      </c>
      <c r="O59" s="4" t="s">
        <v>253</v>
      </c>
      <c r="P59" s="3" t="s">
        <v>254</v>
      </c>
    </row>
    <row r="60" spans="1:16" ht="345" x14ac:dyDescent="0.25">
      <c r="A60" t="s">
        <v>255</v>
      </c>
      <c r="B60" t="s">
        <v>249</v>
      </c>
      <c r="C60" t="s">
        <v>249</v>
      </c>
      <c r="D60" t="s">
        <v>250</v>
      </c>
      <c r="E60" t="s">
        <v>256</v>
      </c>
      <c r="F60" t="s">
        <v>32</v>
      </c>
      <c r="G60" s="3" t="s">
        <v>257</v>
      </c>
      <c r="H60" s="3" t="s">
        <v>258</v>
      </c>
      <c r="L60" s="3" t="s">
        <v>259</v>
      </c>
      <c r="M60" t="s">
        <v>41</v>
      </c>
      <c r="O60" s="4" t="s">
        <v>253</v>
      </c>
      <c r="P60" s="3" t="s">
        <v>24</v>
      </c>
    </row>
    <row r="61" spans="1:16" ht="60" x14ac:dyDescent="0.25">
      <c r="A61" t="s">
        <v>260</v>
      </c>
      <c r="B61" t="s">
        <v>261</v>
      </c>
      <c r="C61" t="s">
        <v>261</v>
      </c>
      <c r="D61" t="s">
        <v>262</v>
      </c>
      <c r="E61" t="s">
        <v>37</v>
      </c>
      <c r="F61" t="s">
        <v>38</v>
      </c>
      <c r="G61" s="3" t="s">
        <v>263</v>
      </c>
      <c r="H61" s="3" t="s">
        <v>264</v>
      </c>
      <c r="L61" s="3"/>
      <c r="M61" t="s">
        <v>41</v>
      </c>
      <c r="O61" s="4" t="s">
        <v>265</v>
      </c>
      <c r="P61" s="3" t="s">
        <v>254</v>
      </c>
    </row>
    <row r="62" spans="1:16" ht="195" x14ac:dyDescent="0.25">
      <c r="A62" t="s">
        <v>266</v>
      </c>
      <c r="B62" t="s">
        <v>261</v>
      </c>
      <c r="C62" t="s">
        <v>261</v>
      </c>
      <c r="D62" t="s">
        <v>262</v>
      </c>
      <c r="E62" t="s">
        <v>267</v>
      </c>
      <c r="F62" t="s">
        <v>49</v>
      </c>
      <c r="G62" s="3" t="s">
        <v>268</v>
      </c>
      <c r="H62" s="3"/>
      <c r="L62" s="3"/>
      <c r="M62" t="s">
        <v>22</v>
      </c>
      <c r="O62" s="4" t="s">
        <v>265</v>
      </c>
      <c r="P62" s="3" t="s">
        <v>24</v>
      </c>
    </row>
    <row r="63" spans="1:16" ht="225" x14ac:dyDescent="0.25">
      <c r="A63" t="s">
        <v>269</v>
      </c>
      <c r="B63" t="s">
        <v>261</v>
      </c>
      <c r="C63" t="s">
        <v>261</v>
      </c>
      <c r="D63" t="s">
        <v>262</v>
      </c>
      <c r="E63" t="s">
        <v>270</v>
      </c>
      <c r="F63" t="s">
        <v>32</v>
      </c>
      <c r="G63" s="3" t="s">
        <v>271</v>
      </c>
      <c r="H63" s="3" t="s">
        <v>272</v>
      </c>
      <c r="L63" s="3" t="s">
        <v>273</v>
      </c>
      <c r="M63" t="s">
        <v>41</v>
      </c>
      <c r="O63" s="4" t="s">
        <v>265</v>
      </c>
      <c r="P63" s="3" t="s">
        <v>24</v>
      </c>
    </row>
    <row r="64" spans="1:16" ht="120" x14ac:dyDescent="0.25">
      <c r="A64" t="s">
        <v>274</v>
      </c>
      <c r="B64" t="s">
        <v>275</v>
      </c>
      <c r="C64" t="s">
        <v>275</v>
      </c>
      <c r="D64" t="s">
        <v>276</v>
      </c>
      <c r="E64" t="s">
        <v>37</v>
      </c>
      <c r="F64" t="s">
        <v>38</v>
      </c>
      <c r="G64" s="3" t="s">
        <v>277</v>
      </c>
      <c r="H64" s="3" t="s">
        <v>278</v>
      </c>
      <c r="L64" s="3"/>
      <c r="M64" t="s">
        <v>41</v>
      </c>
      <c r="O64" s="4" t="s">
        <v>279</v>
      </c>
      <c r="P64" s="3" t="s">
        <v>24</v>
      </c>
    </row>
    <row r="65" spans="1:16" ht="135" x14ac:dyDescent="0.25">
      <c r="A65" t="s">
        <v>280</v>
      </c>
      <c r="B65" t="s">
        <v>275</v>
      </c>
      <c r="C65" t="s">
        <v>275</v>
      </c>
      <c r="D65" t="s">
        <v>276</v>
      </c>
      <c r="E65" t="s">
        <v>281</v>
      </c>
      <c r="F65" t="s">
        <v>49</v>
      </c>
      <c r="G65" s="3" t="s">
        <v>282</v>
      </c>
      <c r="H65" s="3"/>
      <c r="L65" s="3"/>
      <c r="M65" t="s">
        <v>22</v>
      </c>
      <c r="O65" s="4" t="s">
        <v>279</v>
      </c>
      <c r="P65" s="3" t="s">
        <v>24</v>
      </c>
    </row>
    <row r="66" spans="1:16" ht="75" x14ac:dyDescent="0.25">
      <c r="A66" t="s">
        <v>283</v>
      </c>
      <c r="B66" t="s">
        <v>275</v>
      </c>
      <c r="C66" t="s">
        <v>275</v>
      </c>
      <c r="D66" t="s">
        <v>276</v>
      </c>
      <c r="E66" t="s">
        <v>284</v>
      </c>
      <c r="F66" t="s">
        <v>49</v>
      </c>
      <c r="G66" s="3" t="s">
        <v>285</v>
      </c>
      <c r="H66" s="3"/>
      <c r="L66" s="3"/>
      <c r="M66" t="s">
        <v>22</v>
      </c>
      <c r="O66" s="4" t="s">
        <v>279</v>
      </c>
      <c r="P66" s="3" t="s">
        <v>24</v>
      </c>
    </row>
    <row r="67" spans="1:16" ht="165" x14ac:dyDescent="0.25">
      <c r="A67" t="s">
        <v>286</v>
      </c>
      <c r="B67" t="s">
        <v>275</v>
      </c>
      <c r="C67" t="s">
        <v>275</v>
      </c>
      <c r="D67" t="s">
        <v>276</v>
      </c>
      <c r="E67" t="s">
        <v>287</v>
      </c>
      <c r="F67" t="s">
        <v>32</v>
      </c>
      <c r="G67" s="3" t="s">
        <v>288</v>
      </c>
      <c r="H67" s="3"/>
      <c r="L67" s="3"/>
      <c r="M67" t="s">
        <v>22</v>
      </c>
      <c r="O67" s="4" t="s">
        <v>279</v>
      </c>
      <c r="P67" s="3" t="s">
        <v>24</v>
      </c>
    </row>
    <row r="68" spans="1:16" ht="120" x14ac:dyDescent="0.25">
      <c r="A68" t="s">
        <v>289</v>
      </c>
      <c r="B68" t="s">
        <v>275</v>
      </c>
      <c r="C68" t="s">
        <v>275</v>
      </c>
      <c r="D68" t="s">
        <v>276</v>
      </c>
      <c r="E68" t="s">
        <v>290</v>
      </c>
      <c r="F68" t="s">
        <v>32</v>
      </c>
      <c r="G68" s="3" t="s">
        <v>291</v>
      </c>
      <c r="H68" s="3"/>
      <c r="L68" s="3"/>
      <c r="M68" t="s">
        <v>22</v>
      </c>
      <c r="O68" s="4" t="s">
        <v>279</v>
      </c>
      <c r="P68" s="3" t="s">
        <v>24</v>
      </c>
    </row>
    <row r="69" spans="1:16" ht="135" x14ac:dyDescent="0.25">
      <c r="A69" t="s">
        <v>292</v>
      </c>
      <c r="B69" t="s">
        <v>275</v>
      </c>
      <c r="C69" t="s">
        <v>275</v>
      </c>
      <c r="D69" t="s">
        <v>276</v>
      </c>
      <c r="E69" t="s">
        <v>293</v>
      </c>
      <c r="F69" t="s">
        <v>49</v>
      </c>
      <c r="G69" s="3" t="s">
        <v>294</v>
      </c>
      <c r="H69" s="3"/>
      <c r="L69" s="3"/>
      <c r="M69" t="s">
        <v>22</v>
      </c>
      <c r="O69" s="4" t="s">
        <v>279</v>
      </c>
      <c r="P69" s="3" t="s">
        <v>24</v>
      </c>
    </row>
    <row r="70" spans="1:16" ht="120" x14ac:dyDescent="0.25">
      <c r="A70" t="s">
        <v>295</v>
      </c>
      <c r="B70" t="s">
        <v>275</v>
      </c>
      <c r="C70" t="s">
        <v>275</v>
      </c>
      <c r="D70" t="s">
        <v>276</v>
      </c>
      <c r="E70" t="s">
        <v>296</v>
      </c>
      <c r="F70" t="s">
        <v>32</v>
      </c>
      <c r="G70" s="3" t="s">
        <v>297</v>
      </c>
      <c r="H70" s="3"/>
      <c r="L70" s="3"/>
      <c r="M70" t="s">
        <v>22</v>
      </c>
      <c r="O70" s="4" t="s">
        <v>279</v>
      </c>
      <c r="P70" s="3" t="s">
        <v>24</v>
      </c>
    </row>
    <row r="71" spans="1:16" ht="105" x14ac:dyDescent="0.25">
      <c r="A71" t="s">
        <v>298</v>
      </c>
      <c r="B71" t="s">
        <v>275</v>
      </c>
      <c r="C71" t="s">
        <v>275</v>
      </c>
      <c r="D71" t="s">
        <v>276</v>
      </c>
      <c r="E71" t="s">
        <v>299</v>
      </c>
      <c r="F71" t="s">
        <v>49</v>
      </c>
      <c r="G71" s="3" t="s">
        <v>300</v>
      </c>
      <c r="H71" s="3"/>
      <c r="L71" s="3"/>
      <c r="M71" t="s">
        <v>22</v>
      </c>
      <c r="O71" s="4" t="s">
        <v>279</v>
      </c>
      <c r="P71" s="3" t="s">
        <v>24</v>
      </c>
    </row>
    <row r="72" spans="1:16" ht="120" x14ac:dyDescent="0.25">
      <c r="A72" t="s">
        <v>301</v>
      </c>
      <c r="B72" t="s">
        <v>275</v>
      </c>
      <c r="C72" t="s">
        <v>275</v>
      </c>
      <c r="D72" t="s">
        <v>276</v>
      </c>
      <c r="E72" t="s">
        <v>302</v>
      </c>
      <c r="F72" t="s">
        <v>49</v>
      </c>
      <c r="G72" s="3" t="s">
        <v>303</v>
      </c>
      <c r="H72" s="3"/>
      <c r="L72" s="3"/>
      <c r="M72" t="s">
        <v>22</v>
      </c>
      <c r="O72" s="4" t="s">
        <v>279</v>
      </c>
      <c r="P72" s="3" t="s">
        <v>24</v>
      </c>
    </row>
    <row r="73" spans="1:16" ht="90" x14ac:dyDescent="0.25">
      <c r="A73" t="s">
        <v>304</v>
      </c>
      <c r="B73" t="s">
        <v>275</v>
      </c>
      <c r="C73" t="s">
        <v>275</v>
      </c>
      <c r="D73" t="s">
        <v>276</v>
      </c>
      <c r="E73" t="s">
        <v>305</v>
      </c>
      <c r="F73" t="s">
        <v>49</v>
      </c>
      <c r="G73" s="3" t="s">
        <v>306</v>
      </c>
      <c r="H73" s="3"/>
      <c r="L73" s="3"/>
      <c r="M73" t="s">
        <v>22</v>
      </c>
      <c r="O73" s="4" t="s">
        <v>279</v>
      </c>
      <c r="P73" s="3" t="s">
        <v>24</v>
      </c>
    </row>
    <row r="74" spans="1:16" ht="135" x14ac:dyDescent="0.25">
      <c r="A74" t="s">
        <v>307</v>
      </c>
      <c r="B74" t="s">
        <v>275</v>
      </c>
      <c r="C74" t="s">
        <v>275</v>
      </c>
      <c r="D74" t="s">
        <v>276</v>
      </c>
      <c r="E74" t="s">
        <v>308</v>
      </c>
      <c r="F74" t="s">
        <v>49</v>
      </c>
      <c r="G74" s="3" t="s">
        <v>309</v>
      </c>
      <c r="H74" s="3"/>
      <c r="L74" s="3"/>
      <c r="M74" t="s">
        <v>22</v>
      </c>
      <c r="O74" s="4" t="s">
        <v>279</v>
      </c>
      <c r="P74" s="3" t="s">
        <v>24</v>
      </c>
    </row>
    <row r="75" spans="1:16" ht="75" x14ac:dyDescent="0.25">
      <c r="A75" t="s">
        <v>310</v>
      </c>
      <c r="B75" t="s">
        <v>275</v>
      </c>
      <c r="C75" t="s">
        <v>275</v>
      </c>
      <c r="D75" t="s">
        <v>276</v>
      </c>
      <c r="E75" t="s">
        <v>311</v>
      </c>
      <c r="F75" t="s">
        <v>49</v>
      </c>
      <c r="G75" s="3" t="s">
        <v>312</v>
      </c>
      <c r="H75" s="3"/>
      <c r="L75" s="3"/>
      <c r="M75" t="s">
        <v>22</v>
      </c>
      <c r="O75" s="4" t="s">
        <v>279</v>
      </c>
      <c r="P75" s="3" t="s">
        <v>24</v>
      </c>
    </row>
    <row r="76" spans="1:16" ht="60" x14ac:dyDescent="0.25">
      <c r="A76" t="s">
        <v>313</v>
      </c>
      <c r="B76" t="s">
        <v>275</v>
      </c>
      <c r="C76" t="s">
        <v>275</v>
      </c>
      <c r="D76" t="s">
        <v>276</v>
      </c>
      <c r="E76" t="s">
        <v>314</v>
      </c>
      <c r="F76" t="s">
        <v>49</v>
      </c>
      <c r="G76" s="3" t="s">
        <v>315</v>
      </c>
      <c r="H76" s="3"/>
      <c r="L76" s="3"/>
      <c r="M76" t="s">
        <v>22</v>
      </c>
      <c r="O76" s="4" t="s">
        <v>279</v>
      </c>
      <c r="P76" s="3" t="s">
        <v>24</v>
      </c>
    </row>
    <row r="77" spans="1:16" ht="60" x14ac:dyDescent="0.25">
      <c r="A77" t="s">
        <v>316</v>
      </c>
      <c r="B77" t="s">
        <v>275</v>
      </c>
      <c r="C77" t="s">
        <v>275</v>
      </c>
      <c r="D77" t="s">
        <v>276</v>
      </c>
      <c r="E77" t="s">
        <v>317</v>
      </c>
      <c r="F77" t="s">
        <v>49</v>
      </c>
      <c r="G77" s="3" t="s">
        <v>318</v>
      </c>
      <c r="H77" s="3"/>
      <c r="L77" s="3"/>
      <c r="M77" t="s">
        <v>22</v>
      </c>
      <c r="O77" s="4" t="s">
        <v>279</v>
      </c>
      <c r="P77" s="3" t="s">
        <v>24</v>
      </c>
    </row>
    <row r="78" spans="1:16" ht="120" x14ac:dyDescent="0.25">
      <c r="A78" t="s">
        <v>319</v>
      </c>
      <c r="B78" t="s">
        <v>320</v>
      </c>
      <c r="C78" t="s">
        <v>320</v>
      </c>
      <c r="D78" t="s">
        <v>321</v>
      </c>
      <c r="E78" t="s">
        <v>37</v>
      </c>
      <c r="F78" t="s">
        <v>38</v>
      </c>
      <c r="G78" s="3" t="s">
        <v>322</v>
      </c>
      <c r="H78" s="3" t="s">
        <v>323</v>
      </c>
      <c r="L78" s="3"/>
      <c r="M78" t="s">
        <v>41</v>
      </c>
      <c r="O78" s="4" t="s">
        <v>279</v>
      </c>
      <c r="P78" s="3" t="s">
        <v>24</v>
      </c>
    </row>
    <row r="79" spans="1:16" ht="120" x14ac:dyDescent="0.25">
      <c r="A79" t="s">
        <v>324</v>
      </c>
      <c r="B79" t="s">
        <v>320</v>
      </c>
      <c r="C79" t="s">
        <v>320</v>
      </c>
      <c r="D79" t="s">
        <v>321</v>
      </c>
      <c r="E79" t="s">
        <v>325</v>
      </c>
      <c r="F79" t="s">
        <v>49</v>
      </c>
      <c r="G79" s="3" t="s">
        <v>326</v>
      </c>
      <c r="H79" s="3"/>
      <c r="L79" s="3"/>
      <c r="M79" t="s">
        <v>22</v>
      </c>
      <c r="O79" s="4" t="s">
        <v>279</v>
      </c>
      <c r="P79" s="3" t="s">
        <v>24</v>
      </c>
    </row>
    <row r="80" spans="1:16" ht="150" x14ac:dyDescent="0.25">
      <c r="A80" t="s">
        <v>327</v>
      </c>
      <c r="B80" t="s">
        <v>320</v>
      </c>
      <c r="C80" t="s">
        <v>320</v>
      </c>
      <c r="D80" t="s">
        <v>321</v>
      </c>
      <c r="E80" t="s">
        <v>328</v>
      </c>
      <c r="F80" t="s">
        <v>49</v>
      </c>
      <c r="G80" s="3" t="s">
        <v>329</v>
      </c>
      <c r="H80" s="3"/>
      <c r="L80" s="3"/>
      <c r="M80" t="s">
        <v>22</v>
      </c>
      <c r="O80" s="4" t="s">
        <v>279</v>
      </c>
      <c r="P80" s="3" t="s">
        <v>24</v>
      </c>
    </row>
    <row r="81" spans="1:16" ht="135" x14ac:dyDescent="0.25">
      <c r="A81" t="s">
        <v>330</v>
      </c>
      <c r="B81" t="s">
        <v>320</v>
      </c>
      <c r="C81" t="s">
        <v>320</v>
      </c>
      <c r="D81" t="s">
        <v>321</v>
      </c>
      <c r="E81" t="s">
        <v>331</v>
      </c>
      <c r="F81" t="s">
        <v>49</v>
      </c>
      <c r="G81" s="3" t="s">
        <v>332</v>
      </c>
      <c r="H81" s="3"/>
      <c r="L81" s="3"/>
      <c r="M81" t="s">
        <v>22</v>
      </c>
      <c r="O81" s="4" t="s">
        <v>279</v>
      </c>
      <c r="P81" s="3" t="s">
        <v>24</v>
      </c>
    </row>
    <row r="82" spans="1:16" ht="90" x14ac:dyDescent="0.25">
      <c r="A82" t="s">
        <v>333</v>
      </c>
      <c r="B82" t="s">
        <v>320</v>
      </c>
      <c r="C82" t="s">
        <v>320</v>
      </c>
      <c r="D82" t="s">
        <v>321</v>
      </c>
      <c r="E82" t="s">
        <v>334</v>
      </c>
      <c r="F82" t="s">
        <v>32</v>
      </c>
      <c r="G82" s="3" t="s">
        <v>335</v>
      </c>
      <c r="H82" s="3"/>
      <c r="L82" s="3"/>
      <c r="M82" t="s">
        <v>22</v>
      </c>
      <c r="O82" s="4" t="s">
        <v>279</v>
      </c>
      <c r="P82" s="3" t="s">
        <v>24</v>
      </c>
    </row>
    <row r="83" spans="1:16" ht="120" x14ac:dyDescent="0.25">
      <c r="A83" t="s">
        <v>336</v>
      </c>
      <c r="B83" t="s">
        <v>320</v>
      </c>
      <c r="C83" t="s">
        <v>320</v>
      </c>
      <c r="D83" t="s">
        <v>321</v>
      </c>
      <c r="E83" t="s">
        <v>337</v>
      </c>
      <c r="F83" t="s">
        <v>49</v>
      </c>
      <c r="G83" s="3" t="s">
        <v>338</v>
      </c>
      <c r="H83" s="3"/>
      <c r="L83" s="3"/>
      <c r="M83" t="s">
        <v>22</v>
      </c>
      <c r="O83" s="4" t="s">
        <v>279</v>
      </c>
      <c r="P83" s="3" t="s">
        <v>24</v>
      </c>
    </row>
    <row r="84" spans="1:16" ht="165" x14ac:dyDescent="0.25">
      <c r="A84" t="s">
        <v>339</v>
      </c>
      <c r="B84" t="s">
        <v>320</v>
      </c>
      <c r="C84" t="s">
        <v>320</v>
      </c>
      <c r="D84" t="s">
        <v>321</v>
      </c>
      <c r="E84" t="s">
        <v>340</v>
      </c>
      <c r="F84" t="s">
        <v>49</v>
      </c>
      <c r="G84" s="3" t="s">
        <v>341</v>
      </c>
      <c r="H84" s="3"/>
      <c r="L84" s="3"/>
      <c r="M84" t="s">
        <v>22</v>
      </c>
      <c r="O84" s="4" t="s">
        <v>279</v>
      </c>
      <c r="P84" s="3" t="s">
        <v>24</v>
      </c>
    </row>
    <row r="85" spans="1:16" ht="135" x14ac:dyDescent="0.25">
      <c r="A85" t="s">
        <v>342</v>
      </c>
      <c r="B85" t="s">
        <v>320</v>
      </c>
      <c r="C85" t="s">
        <v>320</v>
      </c>
      <c r="D85" t="s">
        <v>321</v>
      </c>
      <c r="E85" t="s">
        <v>343</v>
      </c>
      <c r="F85" t="s">
        <v>49</v>
      </c>
      <c r="G85" s="3" t="s">
        <v>344</v>
      </c>
      <c r="H85" s="3"/>
      <c r="L85" s="3"/>
      <c r="M85" t="s">
        <v>22</v>
      </c>
      <c r="O85" s="4" t="s">
        <v>279</v>
      </c>
      <c r="P85" s="3" t="s">
        <v>24</v>
      </c>
    </row>
    <row r="86" spans="1:16" ht="105" x14ac:dyDescent="0.25">
      <c r="A86" t="s">
        <v>345</v>
      </c>
      <c r="B86" t="s">
        <v>320</v>
      </c>
      <c r="C86" t="s">
        <v>320</v>
      </c>
      <c r="D86" t="s">
        <v>321</v>
      </c>
      <c r="E86" t="s">
        <v>346</v>
      </c>
      <c r="F86" t="s">
        <v>49</v>
      </c>
      <c r="G86" s="3" t="s">
        <v>347</v>
      </c>
      <c r="H86" s="3"/>
      <c r="L86" s="3"/>
      <c r="M86" t="s">
        <v>22</v>
      </c>
      <c r="O86" s="4" t="s">
        <v>279</v>
      </c>
      <c r="P86" s="3" t="s">
        <v>24</v>
      </c>
    </row>
    <row r="87" spans="1:16" ht="105" x14ac:dyDescent="0.25">
      <c r="A87" t="s">
        <v>348</v>
      </c>
      <c r="B87" t="s">
        <v>320</v>
      </c>
      <c r="C87" t="s">
        <v>320</v>
      </c>
      <c r="D87" t="s">
        <v>321</v>
      </c>
      <c r="E87" t="s">
        <v>349</v>
      </c>
      <c r="F87" t="s">
        <v>49</v>
      </c>
      <c r="G87" s="3" t="s">
        <v>350</v>
      </c>
      <c r="H87" s="3"/>
      <c r="L87" s="3"/>
      <c r="M87" t="s">
        <v>22</v>
      </c>
      <c r="O87" s="4" t="s">
        <v>279</v>
      </c>
      <c r="P87" s="3" t="s">
        <v>24</v>
      </c>
    </row>
    <row r="88" spans="1:16" ht="60" x14ac:dyDescent="0.25">
      <c r="A88" t="s">
        <v>351</v>
      </c>
      <c r="B88" t="s">
        <v>320</v>
      </c>
      <c r="C88" t="s">
        <v>320</v>
      </c>
      <c r="D88" t="s">
        <v>321</v>
      </c>
      <c r="E88" t="s">
        <v>352</v>
      </c>
      <c r="F88" t="s">
        <v>49</v>
      </c>
      <c r="G88" s="3" t="s">
        <v>353</v>
      </c>
      <c r="H88" s="3"/>
      <c r="L88" s="3"/>
      <c r="M88" t="s">
        <v>22</v>
      </c>
      <c r="O88" s="4" t="s">
        <v>279</v>
      </c>
      <c r="P88" s="3" t="s">
        <v>24</v>
      </c>
    </row>
    <row r="89" spans="1:16" ht="45" x14ac:dyDescent="0.25">
      <c r="A89" t="s">
        <v>354</v>
      </c>
      <c r="B89" t="s">
        <v>320</v>
      </c>
      <c r="C89" t="s">
        <v>320</v>
      </c>
      <c r="D89" t="s">
        <v>321</v>
      </c>
      <c r="E89" t="s">
        <v>355</v>
      </c>
      <c r="F89" t="s">
        <v>32</v>
      </c>
      <c r="G89" s="3" t="s">
        <v>356</v>
      </c>
      <c r="H89" s="3"/>
      <c r="L89" s="3"/>
      <c r="M89" t="s">
        <v>22</v>
      </c>
      <c r="O89" s="4" t="s">
        <v>279</v>
      </c>
      <c r="P89" s="3" t="s">
        <v>24</v>
      </c>
    </row>
    <row r="90" spans="1:16" ht="120" x14ac:dyDescent="0.25">
      <c r="A90" t="s">
        <v>357</v>
      </c>
      <c r="B90" t="s">
        <v>358</v>
      </c>
      <c r="C90" t="s">
        <v>358</v>
      </c>
      <c r="D90" t="s">
        <v>359</v>
      </c>
      <c r="E90" t="s">
        <v>37</v>
      </c>
      <c r="F90" t="s">
        <v>38</v>
      </c>
      <c r="G90" s="3" t="s">
        <v>360</v>
      </c>
      <c r="H90" s="3" t="s">
        <v>361</v>
      </c>
      <c r="L90" s="3"/>
      <c r="M90" t="s">
        <v>41</v>
      </c>
      <c r="O90" s="4" t="s">
        <v>279</v>
      </c>
      <c r="P90" s="3" t="s">
        <v>24</v>
      </c>
    </row>
    <row r="91" spans="1:16" ht="60" x14ac:dyDescent="0.25">
      <c r="A91" t="s">
        <v>362</v>
      </c>
      <c r="B91" t="s">
        <v>358</v>
      </c>
      <c r="C91" t="s">
        <v>358</v>
      </c>
      <c r="D91" t="s">
        <v>359</v>
      </c>
      <c r="E91" t="s">
        <v>363</v>
      </c>
      <c r="F91" t="s">
        <v>49</v>
      </c>
      <c r="G91" s="3" t="s">
        <v>364</v>
      </c>
      <c r="H91" s="3"/>
      <c r="L91" s="3"/>
      <c r="M91" t="s">
        <v>22</v>
      </c>
      <c r="O91" s="4" t="s">
        <v>279</v>
      </c>
      <c r="P91" s="3" t="s">
        <v>24</v>
      </c>
    </row>
    <row r="92" spans="1:16" ht="90" x14ac:dyDescent="0.25">
      <c r="A92" t="s">
        <v>365</v>
      </c>
      <c r="B92" t="s">
        <v>358</v>
      </c>
      <c r="C92" t="s">
        <v>358</v>
      </c>
      <c r="D92" t="s">
        <v>359</v>
      </c>
      <c r="E92" t="s">
        <v>366</v>
      </c>
      <c r="F92" t="s">
        <v>49</v>
      </c>
      <c r="G92" s="3" t="s">
        <v>367</v>
      </c>
      <c r="H92" s="3"/>
      <c r="L92" s="3"/>
      <c r="M92" t="s">
        <v>22</v>
      </c>
      <c r="O92" s="4" t="s">
        <v>279</v>
      </c>
      <c r="P92" s="3" t="s">
        <v>24</v>
      </c>
    </row>
    <row r="93" spans="1:16" ht="105" x14ac:dyDescent="0.25">
      <c r="A93" t="s">
        <v>368</v>
      </c>
      <c r="B93" t="s">
        <v>358</v>
      </c>
      <c r="C93" t="s">
        <v>358</v>
      </c>
      <c r="D93" t="s">
        <v>359</v>
      </c>
      <c r="E93" t="s">
        <v>369</v>
      </c>
      <c r="F93" t="s">
        <v>49</v>
      </c>
      <c r="G93" s="3" t="s">
        <v>370</v>
      </c>
      <c r="H93" s="3"/>
      <c r="L93" s="3"/>
      <c r="M93" t="s">
        <v>22</v>
      </c>
      <c r="O93" s="4" t="s">
        <v>279</v>
      </c>
      <c r="P93" s="3" t="s">
        <v>24</v>
      </c>
    </row>
    <row r="94" spans="1:16" ht="90" x14ac:dyDescent="0.25">
      <c r="A94" t="s">
        <v>371</v>
      </c>
      <c r="B94" t="s">
        <v>358</v>
      </c>
      <c r="C94" t="s">
        <v>358</v>
      </c>
      <c r="D94" t="s">
        <v>359</v>
      </c>
      <c r="E94" t="s">
        <v>372</v>
      </c>
      <c r="F94" t="s">
        <v>49</v>
      </c>
      <c r="G94" s="3" t="s">
        <v>373</v>
      </c>
      <c r="H94" s="3"/>
      <c r="L94" s="3"/>
      <c r="M94" t="s">
        <v>22</v>
      </c>
      <c r="O94" s="4" t="s">
        <v>279</v>
      </c>
      <c r="P94" s="3" t="s">
        <v>24</v>
      </c>
    </row>
    <row r="95" spans="1:16" ht="105" x14ac:dyDescent="0.25">
      <c r="A95" t="s">
        <v>374</v>
      </c>
      <c r="B95" t="s">
        <v>358</v>
      </c>
      <c r="C95" t="s">
        <v>358</v>
      </c>
      <c r="D95" t="s">
        <v>359</v>
      </c>
      <c r="E95" t="s">
        <v>375</v>
      </c>
      <c r="F95" t="s">
        <v>49</v>
      </c>
      <c r="G95" s="3" t="s">
        <v>376</v>
      </c>
      <c r="H95" s="3"/>
      <c r="L95" s="3"/>
      <c r="M95" t="s">
        <v>22</v>
      </c>
      <c r="O95" s="4" t="s">
        <v>279</v>
      </c>
      <c r="P95" s="3" t="s">
        <v>24</v>
      </c>
    </row>
    <row r="96" spans="1:16" ht="75" x14ac:dyDescent="0.25">
      <c r="A96" t="s">
        <v>377</v>
      </c>
      <c r="B96" t="s">
        <v>358</v>
      </c>
      <c r="C96" t="s">
        <v>358</v>
      </c>
      <c r="D96" t="s">
        <v>359</v>
      </c>
      <c r="E96" t="s">
        <v>334</v>
      </c>
      <c r="F96" t="s">
        <v>32</v>
      </c>
      <c r="G96" s="3" t="s">
        <v>378</v>
      </c>
      <c r="H96" s="3"/>
      <c r="L96" s="3"/>
      <c r="M96" t="s">
        <v>22</v>
      </c>
      <c r="O96" s="4" t="s">
        <v>279</v>
      </c>
      <c r="P96" s="3" t="s">
        <v>24</v>
      </c>
    </row>
    <row r="97" spans="1:16" ht="180" x14ac:dyDescent="0.25">
      <c r="A97" t="s">
        <v>379</v>
      </c>
      <c r="B97" t="s">
        <v>358</v>
      </c>
      <c r="C97" t="s">
        <v>358</v>
      </c>
      <c r="D97" t="s">
        <v>359</v>
      </c>
      <c r="E97" t="s">
        <v>380</v>
      </c>
      <c r="F97" t="s">
        <v>49</v>
      </c>
      <c r="G97" s="3" t="s">
        <v>381</v>
      </c>
      <c r="H97" s="3"/>
      <c r="L97" s="3"/>
      <c r="M97" t="s">
        <v>22</v>
      </c>
      <c r="O97" s="4" t="s">
        <v>279</v>
      </c>
      <c r="P97" s="3" t="s">
        <v>24</v>
      </c>
    </row>
    <row r="98" spans="1:16" ht="90" x14ac:dyDescent="0.25">
      <c r="A98" t="s">
        <v>382</v>
      </c>
      <c r="B98" t="s">
        <v>358</v>
      </c>
      <c r="C98" t="s">
        <v>358</v>
      </c>
      <c r="D98" t="s">
        <v>359</v>
      </c>
      <c r="E98" t="s">
        <v>383</v>
      </c>
      <c r="F98" t="s">
        <v>49</v>
      </c>
      <c r="G98" s="3" t="s">
        <v>384</v>
      </c>
      <c r="H98" s="3"/>
      <c r="L98" s="3"/>
      <c r="M98" t="s">
        <v>22</v>
      </c>
      <c r="O98" s="4" t="s">
        <v>279</v>
      </c>
      <c r="P98" s="3" t="s">
        <v>24</v>
      </c>
    </row>
    <row r="99" spans="1:16" ht="90" x14ac:dyDescent="0.25">
      <c r="A99" t="s">
        <v>385</v>
      </c>
      <c r="B99" t="s">
        <v>358</v>
      </c>
      <c r="C99" t="s">
        <v>358</v>
      </c>
      <c r="D99" t="s">
        <v>359</v>
      </c>
      <c r="E99" t="s">
        <v>386</v>
      </c>
      <c r="F99" t="s">
        <v>49</v>
      </c>
      <c r="G99" s="3" t="s">
        <v>387</v>
      </c>
      <c r="H99" s="3"/>
      <c r="L99" s="3"/>
      <c r="M99" t="s">
        <v>22</v>
      </c>
      <c r="O99" s="4" t="s">
        <v>279</v>
      </c>
      <c r="P99" s="3" t="s">
        <v>24</v>
      </c>
    </row>
    <row r="100" spans="1:16" ht="45" x14ac:dyDescent="0.25">
      <c r="A100" t="s">
        <v>388</v>
      </c>
      <c r="B100" t="s">
        <v>358</v>
      </c>
      <c r="C100" t="s">
        <v>358</v>
      </c>
      <c r="D100" t="s">
        <v>359</v>
      </c>
      <c r="E100" t="s">
        <v>355</v>
      </c>
      <c r="F100" t="s">
        <v>32</v>
      </c>
      <c r="G100" s="3" t="s">
        <v>389</v>
      </c>
      <c r="H100" s="3"/>
      <c r="L100" s="3"/>
      <c r="M100" t="s">
        <v>22</v>
      </c>
      <c r="O100" s="4" t="s">
        <v>279</v>
      </c>
      <c r="P100" s="3" t="s">
        <v>24</v>
      </c>
    </row>
    <row r="101" spans="1:16" ht="120" x14ac:dyDescent="0.25">
      <c r="A101" t="s">
        <v>390</v>
      </c>
      <c r="B101" t="s">
        <v>391</v>
      </c>
      <c r="C101" t="s">
        <v>391</v>
      </c>
      <c r="D101" t="s">
        <v>392</v>
      </c>
      <c r="E101" t="s">
        <v>37</v>
      </c>
      <c r="F101" t="s">
        <v>38</v>
      </c>
      <c r="G101" s="3" t="s">
        <v>393</v>
      </c>
      <c r="H101" s="3" t="s">
        <v>394</v>
      </c>
      <c r="L101" s="3"/>
      <c r="M101" t="s">
        <v>41</v>
      </c>
      <c r="O101" s="4" t="s">
        <v>279</v>
      </c>
      <c r="P101" s="3" t="s">
        <v>24</v>
      </c>
    </row>
    <row r="102" spans="1:16" ht="105" x14ac:dyDescent="0.25">
      <c r="A102" t="s">
        <v>395</v>
      </c>
      <c r="B102" t="s">
        <v>391</v>
      </c>
      <c r="C102" t="s">
        <v>391</v>
      </c>
      <c r="D102" t="s">
        <v>392</v>
      </c>
      <c r="E102" t="s">
        <v>396</v>
      </c>
      <c r="F102" t="s">
        <v>49</v>
      </c>
      <c r="G102" s="3" t="s">
        <v>397</v>
      </c>
      <c r="H102" s="3"/>
      <c r="L102" s="3"/>
      <c r="M102" t="s">
        <v>22</v>
      </c>
      <c r="O102" s="4" t="s">
        <v>279</v>
      </c>
      <c r="P102" s="3" t="s">
        <v>24</v>
      </c>
    </row>
    <row r="103" spans="1:16" ht="120" x14ac:dyDescent="0.25">
      <c r="A103" t="s">
        <v>398</v>
      </c>
      <c r="B103" t="s">
        <v>391</v>
      </c>
      <c r="C103" t="s">
        <v>391</v>
      </c>
      <c r="D103" t="s">
        <v>392</v>
      </c>
      <c r="E103" t="s">
        <v>399</v>
      </c>
      <c r="F103" t="s">
        <v>49</v>
      </c>
      <c r="G103" s="3" t="s">
        <v>400</v>
      </c>
      <c r="H103" s="3"/>
      <c r="L103" s="3"/>
      <c r="M103" t="s">
        <v>22</v>
      </c>
      <c r="O103" s="4" t="s">
        <v>279</v>
      </c>
      <c r="P103" s="3" t="s">
        <v>24</v>
      </c>
    </row>
    <row r="104" spans="1:16" ht="165" x14ac:dyDescent="0.25">
      <c r="A104" t="s">
        <v>401</v>
      </c>
      <c r="B104" t="s">
        <v>391</v>
      </c>
      <c r="C104" t="s">
        <v>391</v>
      </c>
      <c r="D104" t="s">
        <v>392</v>
      </c>
      <c r="E104" t="s">
        <v>402</v>
      </c>
      <c r="F104" t="s">
        <v>49</v>
      </c>
      <c r="G104" s="3" t="s">
        <v>403</v>
      </c>
      <c r="H104" s="3"/>
      <c r="L104" s="3"/>
      <c r="M104" t="s">
        <v>22</v>
      </c>
      <c r="O104" s="4" t="s">
        <v>279</v>
      </c>
      <c r="P104" s="3" t="s">
        <v>24</v>
      </c>
    </row>
    <row r="105" spans="1:16" ht="105" x14ac:dyDescent="0.25">
      <c r="A105" t="s">
        <v>404</v>
      </c>
      <c r="B105" t="s">
        <v>391</v>
      </c>
      <c r="C105" t="s">
        <v>391</v>
      </c>
      <c r="D105" t="s">
        <v>392</v>
      </c>
      <c r="E105" t="s">
        <v>405</v>
      </c>
      <c r="F105" t="s">
        <v>49</v>
      </c>
      <c r="G105" s="3" t="s">
        <v>406</v>
      </c>
      <c r="H105" s="3"/>
      <c r="L105" s="3"/>
      <c r="M105" t="s">
        <v>22</v>
      </c>
      <c r="O105" s="4" t="s">
        <v>279</v>
      </c>
      <c r="P105" s="3" t="s">
        <v>24</v>
      </c>
    </row>
    <row r="106" spans="1:16" ht="75" x14ac:dyDescent="0.25">
      <c r="A106" t="s">
        <v>407</v>
      </c>
      <c r="B106" t="s">
        <v>391</v>
      </c>
      <c r="C106" t="s">
        <v>391</v>
      </c>
      <c r="D106" t="s">
        <v>392</v>
      </c>
      <c r="E106" t="s">
        <v>408</v>
      </c>
      <c r="F106" t="s">
        <v>49</v>
      </c>
      <c r="G106" s="3" t="s">
        <v>409</v>
      </c>
      <c r="H106" s="3"/>
      <c r="L106" s="3"/>
      <c r="M106" t="s">
        <v>22</v>
      </c>
      <c r="O106" s="4" t="s">
        <v>279</v>
      </c>
      <c r="P106" s="3" t="s">
        <v>24</v>
      </c>
    </row>
    <row r="107" spans="1:16" ht="75" x14ac:dyDescent="0.25">
      <c r="A107" t="s">
        <v>410</v>
      </c>
      <c r="B107" t="s">
        <v>391</v>
      </c>
      <c r="C107" t="s">
        <v>391</v>
      </c>
      <c r="D107" t="s">
        <v>392</v>
      </c>
      <c r="E107" t="s">
        <v>411</v>
      </c>
      <c r="F107" t="s">
        <v>49</v>
      </c>
      <c r="G107" s="3" t="s">
        <v>412</v>
      </c>
      <c r="H107" s="3"/>
      <c r="L107" s="3"/>
      <c r="M107" t="s">
        <v>22</v>
      </c>
      <c r="O107" s="4" t="s">
        <v>279</v>
      </c>
      <c r="P107" s="3" t="s">
        <v>24</v>
      </c>
    </row>
    <row r="108" spans="1:16" ht="60" x14ac:dyDescent="0.25">
      <c r="A108" t="s">
        <v>413</v>
      </c>
      <c r="B108" t="s">
        <v>391</v>
      </c>
      <c r="C108" t="s">
        <v>391</v>
      </c>
      <c r="D108" t="s">
        <v>392</v>
      </c>
      <c r="E108" t="s">
        <v>317</v>
      </c>
      <c r="F108" t="s">
        <v>49</v>
      </c>
      <c r="G108" s="3" t="s">
        <v>414</v>
      </c>
      <c r="H108" s="3"/>
      <c r="L108" s="3"/>
      <c r="M108" t="s">
        <v>22</v>
      </c>
      <c r="O108" s="4" t="s">
        <v>279</v>
      </c>
      <c r="P108" s="3" t="s">
        <v>24</v>
      </c>
    </row>
    <row r="109" spans="1:16" ht="45" x14ac:dyDescent="0.25">
      <c r="A109" t="s">
        <v>16</v>
      </c>
      <c r="B109" t="s">
        <v>17</v>
      </c>
      <c r="C109" t="s">
        <v>18</v>
      </c>
      <c r="D109" t="s">
        <v>19</v>
      </c>
      <c r="E109" t="s">
        <v>18</v>
      </c>
      <c r="F109" t="s">
        <v>20</v>
      </c>
      <c r="G109" s="3" t="s">
        <v>21</v>
      </c>
      <c r="H109" s="3"/>
      <c r="L109" s="3"/>
      <c r="M109" t="s">
        <v>22</v>
      </c>
      <c r="O109" s="4" t="s">
        <v>23</v>
      </c>
      <c r="P109" s="3" t="s">
        <v>24</v>
      </c>
    </row>
    <row r="110" spans="1:16" ht="195" x14ac:dyDescent="0.25">
      <c r="A110" t="s">
        <v>25</v>
      </c>
      <c r="B110" t="s">
        <v>17</v>
      </c>
      <c r="C110" t="s">
        <v>26</v>
      </c>
      <c r="D110" t="s">
        <v>27</v>
      </c>
      <c r="E110" t="s">
        <v>26</v>
      </c>
      <c r="F110" t="s">
        <v>26</v>
      </c>
      <c r="G110" s="3" t="s">
        <v>28</v>
      </c>
      <c r="H110" s="3"/>
      <c r="L110" s="3"/>
      <c r="M110" t="s">
        <v>22</v>
      </c>
      <c r="O110" s="4" t="s">
        <v>23</v>
      </c>
      <c r="P110" s="3" t="s">
        <v>24</v>
      </c>
    </row>
    <row r="111" spans="1:16" ht="120" x14ac:dyDescent="0.25">
      <c r="A111" t="s">
        <v>29</v>
      </c>
      <c r="B111" t="s">
        <v>17</v>
      </c>
      <c r="C111" t="s">
        <v>30</v>
      </c>
      <c r="D111" t="s">
        <v>31</v>
      </c>
      <c r="E111" t="s">
        <v>30</v>
      </c>
      <c r="F111" t="s">
        <v>32</v>
      </c>
      <c r="G111" s="3" t="s">
        <v>33</v>
      </c>
      <c r="H111" s="3"/>
      <c r="L111" s="3"/>
      <c r="M111" t="s">
        <v>22</v>
      </c>
      <c r="O111" s="4" t="s">
        <v>23</v>
      </c>
      <c r="P111" s="3" t="s">
        <v>24</v>
      </c>
    </row>
  </sheetData>
  <autoFilter ref="A1:P108" xr:uid="{00000000-0009-0000-0000-000000000000}"/>
  <dataValidations count="2">
    <dataValidation type="list" allowBlank="1" sqref="K2:K111" xr:uid="{00000000-0002-0000-0000-000000000000}">
      <formula1>"Informational,Commercial,Transactional,Navigational"</formula1>
    </dataValidation>
    <dataValidation type="list" allowBlank="1" sqref="M2:M111" xr:uid="{00000000-0002-0000-0000-000002000000}">
      <formula1>"Not started,Drafted,In review,Client edits,Approved,In CMS"</formula1>
    </dataValidation>
  </dataValidations>
  <hyperlinks>
    <hyperlink ref="O109" r:id="rId1" xr:uid="{00000000-0004-0000-0000-000000000000}"/>
    <hyperlink ref="O110" r:id="rId2" xr:uid="{00000000-0004-0000-0000-000001000000}"/>
    <hyperlink ref="O111" r:id="rId3" xr:uid="{00000000-0004-0000-0000-000002000000}"/>
    <hyperlink ref="O2" r:id="rId4" xr:uid="{00000000-0004-0000-0000-000003000000}"/>
    <hyperlink ref="O3" r:id="rId5" xr:uid="{00000000-0004-0000-0000-000004000000}"/>
    <hyperlink ref="O4" r:id="rId6" xr:uid="{00000000-0004-0000-0000-000005000000}"/>
    <hyperlink ref="O5" r:id="rId7" xr:uid="{00000000-0004-0000-0000-000006000000}"/>
    <hyperlink ref="O6" r:id="rId8" xr:uid="{00000000-0004-0000-0000-000007000000}"/>
    <hyperlink ref="O7" r:id="rId9" xr:uid="{00000000-0004-0000-0000-000008000000}"/>
    <hyperlink ref="O8" r:id="rId10" xr:uid="{00000000-0004-0000-0000-000009000000}"/>
    <hyperlink ref="O9" r:id="rId11" xr:uid="{00000000-0004-0000-0000-00000A000000}"/>
    <hyperlink ref="O10" r:id="rId12" xr:uid="{00000000-0004-0000-0000-00000B000000}"/>
    <hyperlink ref="O11" r:id="rId13" xr:uid="{00000000-0004-0000-0000-00000C000000}"/>
    <hyperlink ref="O12" r:id="rId14" xr:uid="{00000000-0004-0000-0000-00000D000000}"/>
    <hyperlink ref="O13" r:id="rId15" xr:uid="{00000000-0004-0000-0000-00000E000000}"/>
    <hyperlink ref="O14" r:id="rId16" xr:uid="{00000000-0004-0000-0000-00000F000000}"/>
    <hyperlink ref="O15" r:id="rId17" xr:uid="{00000000-0004-0000-0000-000010000000}"/>
    <hyperlink ref="O16" r:id="rId18" xr:uid="{00000000-0004-0000-0000-000011000000}"/>
    <hyperlink ref="O17" r:id="rId19" xr:uid="{00000000-0004-0000-0000-000012000000}"/>
    <hyperlink ref="O18" r:id="rId20" xr:uid="{00000000-0004-0000-0000-000013000000}"/>
    <hyperlink ref="O19" r:id="rId21" xr:uid="{00000000-0004-0000-0000-000014000000}"/>
    <hyperlink ref="O20" r:id="rId22" xr:uid="{00000000-0004-0000-0000-000015000000}"/>
    <hyperlink ref="O21" r:id="rId23" xr:uid="{00000000-0004-0000-0000-000016000000}"/>
    <hyperlink ref="O22" r:id="rId24" xr:uid="{00000000-0004-0000-0000-000017000000}"/>
    <hyperlink ref="O23" r:id="rId25" xr:uid="{00000000-0004-0000-0000-000018000000}"/>
    <hyperlink ref="O24" r:id="rId26" xr:uid="{00000000-0004-0000-0000-000019000000}"/>
    <hyperlink ref="O25" r:id="rId27" xr:uid="{00000000-0004-0000-0000-00001A000000}"/>
    <hyperlink ref="O26" r:id="rId28" xr:uid="{00000000-0004-0000-0000-00001B000000}"/>
    <hyperlink ref="O27" r:id="rId29" xr:uid="{00000000-0004-0000-0000-00001C000000}"/>
    <hyperlink ref="O28" r:id="rId30" xr:uid="{00000000-0004-0000-0000-00001D000000}"/>
    <hyperlink ref="O29" r:id="rId31" xr:uid="{00000000-0004-0000-0000-00001E000000}"/>
    <hyperlink ref="O30" r:id="rId32" xr:uid="{00000000-0004-0000-0000-00001F000000}"/>
    <hyperlink ref="O31" r:id="rId33" xr:uid="{00000000-0004-0000-0000-000020000000}"/>
    <hyperlink ref="O32" r:id="rId34" xr:uid="{00000000-0004-0000-0000-000021000000}"/>
    <hyperlink ref="O33" r:id="rId35" xr:uid="{00000000-0004-0000-0000-000022000000}"/>
    <hyperlink ref="O34" r:id="rId36" xr:uid="{00000000-0004-0000-0000-000023000000}"/>
    <hyperlink ref="O35" r:id="rId37" xr:uid="{00000000-0004-0000-0000-000024000000}"/>
    <hyperlink ref="O36" r:id="rId38" xr:uid="{00000000-0004-0000-0000-000025000000}"/>
    <hyperlink ref="O37" r:id="rId39" xr:uid="{00000000-0004-0000-0000-000026000000}"/>
    <hyperlink ref="O38" r:id="rId40" xr:uid="{00000000-0004-0000-0000-000027000000}"/>
    <hyperlink ref="O39" r:id="rId41" xr:uid="{00000000-0004-0000-0000-000028000000}"/>
    <hyperlink ref="O40" r:id="rId42" xr:uid="{00000000-0004-0000-0000-000029000000}"/>
    <hyperlink ref="O41" r:id="rId43" xr:uid="{00000000-0004-0000-0000-00002A000000}"/>
    <hyperlink ref="O42" r:id="rId44" xr:uid="{00000000-0004-0000-0000-00002B000000}"/>
    <hyperlink ref="O43" r:id="rId45" xr:uid="{00000000-0004-0000-0000-00002C000000}"/>
    <hyperlink ref="O44" r:id="rId46" xr:uid="{00000000-0004-0000-0000-00002D000000}"/>
    <hyperlink ref="O45" r:id="rId47" xr:uid="{00000000-0004-0000-0000-00002E000000}"/>
    <hyperlink ref="O46" r:id="rId48" xr:uid="{00000000-0004-0000-0000-00002F000000}"/>
    <hyperlink ref="O47" r:id="rId49" xr:uid="{00000000-0004-0000-0000-000030000000}"/>
    <hyperlink ref="O48" r:id="rId50" xr:uid="{00000000-0004-0000-0000-000031000000}"/>
    <hyperlink ref="O49" r:id="rId51" xr:uid="{00000000-0004-0000-0000-000032000000}"/>
    <hyperlink ref="O50" r:id="rId52" xr:uid="{00000000-0004-0000-0000-000033000000}"/>
    <hyperlink ref="O51" r:id="rId53" xr:uid="{00000000-0004-0000-0000-000034000000}"/>
    <hyperlink ref="O52" r:id="rId54" xr:uid="{00000000-0004-0000-0000-000035000000}"/>
    <hyperlink ref="O53" r:id="rId55" xr:uid="{00000000-0004-0000-0000-000036000000}"/>
    <hyperlink ref="O54" r:id="rId56" xr:uid="{00000000-0004-0000-0000-000037000000}"/>
    <hyperlink ref="O55" r:id="rId57" xr:uid="{00000000-0004-0000-0000-000038000000}"/>
    <hyperlink ref="O56" r:id="rId58" xr:uid="{00000000-0004-0000-0000-000039000000}"/>
    <hyperlink ref="O57" r:id="rId59" xr:uid="{00000000-0004-0000-0000-00003A000000}"/>
    <hyperlink ref="O58" r:id="rId60" xr:uid="{00000000-0004-0000-0000-00003B000000}"/>
    <hyperlink ref="O59" r:id="rId61" xr:uid="{00000000-0004-0000-0000-00003C000000}"/>
    <hyperlink ref="O60" r:id="rId62" xr:uid="{00000000-0004-0000-0000-00003D000000}"/>
    <hyperlink ref="O61" r:id="rId63" xr:uid="{00000000-0004-0000-0000-00003E000000}"/>
    <hyperlink ref="O62" r:id="rId64" xr:uid="{00000000-0004-0000-0000-00003F000000}"/>
    <hyperlink ref="O63" r:id="rId65" xr:uid="{00000000-0004-0000-0000-000040000000}"/>
    <hyperlink ref="O64" r:id="rId66" xr:uid="{00000000-0004-0000-0000-000041000000}"/>
    <hyperlink ref="O65" r:id="rId67" xr:uid="{00000000-0004-0000-0000-000042000000}"/>
    <hyperlink ref="O66" r:id="rId68" xr:uid="{00000000-0004-0000-0000-000043000000}"/>
    <hyperlink ref="O67" r:id="rId69" xr:uid="{00000000-0004-0000-0000-000044000000}"/>
    <hyperlink ref="O68" r:id="rId70" xr:uid="{00000000-0004-0000-0000-000045000000}"/>
    <hyperlink ref="O69" r:id="rId71" xr:uid="{00000000-0004-0000-0000-000046000000}"/>
    <hyperlink ref="O70" r:id="rId72" xr:uid="{00000000-0004-0000-0000-000047000000}"/>
    <hyperlink ref="O71" r:id="rId73" xr:uid="{00000000-0004-0000-0000-000048000000}"/>
    <hyperlink ref="O72" r:id="rId74" xr:uid="{00000000-0004-0000-0000-000049000000}"/>
    <hyperlink ref="O73" r:id="rId75" xr:uid="{00000000-0004-0000-0000-00004A000000}"/>
    <hyperlink ref="O74" r:id="rId76" xr:uid="{00000000-0004-0000-0000-00004B000000}"/>
    <hyperlink ref="O75" r:id="rId77" xr:uid="{00000000-0004-0000-0000-00004C000000}"/>
    <hyperlink ref="O76" r:id="rId78" xr:uid="{00000000-0004-0000-0000-00004D000000}"/>
    <hyperlink ref="O77" r:id="rId79" xr:uid="{00000000-0004-0000-0000-00004E000000}"/>
    <hyperlink ref="O78" r:id="rId80" xr:uid="{00000000-0004-0000-0000-00004F000000}"/>
    <hyperlink ref="O79" r:id="rId81" xr:uid="{00000000-0004-0000-0000-000050000000}"/>
    <hyperlink ref="O80" r:id="rId82" xr:uid="{00000000-0004-0000-0000-000051000000}"/>
    <hyperlink ref="O81" r:id="rId83" xr:uid="{00000000-0004-0000-0000-000052000000}"/>
    <hyperlink ref="O82" r:id="rId84" xr:uid="{00000000-0004-0000-0000-000053000000}"/>
    <hyperlink ref="O83" r:id="rId85" xr:uid="{00000000-0004-0000-0000-000054000000}"/>
    <hyperlink ref="O84" r:id="rId86" xr:uid="{00000000-0004-0000-0000-000055000000}"/>
    <hyperlink ref="O85" r:id="rId87" xr:uid="{00000000-0004-0000-0000-000056000000}"/>
    <hyperlink ref="O86" r:id="rId88" xr:uid="{00000000-0004-0000-0000-000057000000}"/>
    <hyperlink ref="O87" r:id="rId89" xr:uid="{00000000-0004-0000-0000-000058000000}"/>
    <hyperlink ref="O88" r:id="rId90" xr:uid="{00000000-0004-0000-0000-000059000000}"/>
    <hyperlink ref="O89" r:id="rId91" xr:uid="{00000000-0004-0000-0000-00005A000000}"/>
    <hyperlink ref="O90" r:id="rId92" xr:uid="{00000000-0004-0000-0000-00005B000000}"/>
    <hyperlink ref="O91" r:id="rId93" xr:uid="{00000000-0004-0000-0000-00005C000000}"/>
    <hyperlink ref="O92" r:id="rId94" xr:uid="{00000000-0004-0000-0000-00005D000000}"/>
    <hyperlink ref="O93" r:id="rId95" xr:uid="{00000000-0004-0000-0000-00005E000000}"/>
    <hyperlink ref="O94" r:id="rId96" xr:uid="{00000000-0004-0000-0000-00005F000000}"/>
    <hyperlink ref="O95" r:id="rId97" xr:uid="{00000000-0004-0000-0000-000060000000}"/>
    <hyperlink ref="O96" r:id="rId98" xr:uid="{00000000-0004-0000-0000-000061000000}"/>
    <hyperlink ref="O97" r:id="rId99" xr:uid="{00000000-0004-0000-0000-000062000000}"/>
    <hyperlink ref="O98" r:id="rId100" xr:uid="{00000000-0004-0000-0000-000063000000}"/>
    <hyperlink ref="O99" r:id="rId101" xr:uid="{00000000-0004-0000-0000-000064000000}"/>
    <hyperlink ref="O100" r:id="rId102" xr:uid="{00000000-0004-0000-0000-000065000000}"/>
    <hyperlink ref="O101" r:id="rId103" xr:uid="{00000000-0004-0000-0000-000066000000}"/>
    <hyperlink ref="O102" r:id="rId104" xr:uid="{00000000-0004-0000-0000-000067000000}"/>
    <hyperlink ref="O103" r:id="rId105" xr:uid="{00000000-0004-0000-0000-000068000000}"/>
    <hyperlink ref="O104" r:id="rId106" xr:uid="{00000000-0004-0000-0000-000069000000}"/>
    <hyperlink ref="O105" r:id="rId107" xr:uid="{00000000-0004-0000-0000-00006A000000}"/>
    <hyperlink ref="O106" r:id="rId108" xr:uid="{00000000-0004-0000-0000-00006B000000}"/>
    <hyperlink ref="O107" r:id="rId109" xr:uid="{00000000-0004-0000-0000-00006C000000}"/>
    <hyperlink ref="O108" r:id="rId110" xr:uid="{00000000-0004-0000-0000-00006D000000}"/>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B1A1A"/>
  </sheetPr>
  <dimension ref="A1:N17"/>
  <sheetViews>
    <sheetView workbookViewId="0">
      <pane ySplit="1" topLeftCell="A2" activePane="bottomLeft" state="frozen"/>
      <selection pane="bottomLeft"/>
    </sheetView>
  </sheetViews>
  <sheetFormatPr defaultRowHeight="15" x14ac:dyDescent="0.25"/>
  <cols>
    <col min="1" max="1" width="22" customWidth="1"/>
    <col min="2" max="2" width="7" customWidth="1"/>
    <col min="3" max="3" width="42" customWidth="1"/>
    <col min="4" max="4" width="26" customWidth="1"/>
    <col min="5" max="5" width="44" customWidth="1"/>
    <col min="6" max="6" width="56" customWidth="1"/>
    <col min="7" max="7" width="30" customWidth="1"/>
    <col min="8" max="8" width="34" customWidth="1"/>
    <col min="9" max="9" width="40" customWidth="1"/>
    <col min="10" max="10" width="24" customWidth="1"/>
    <col min="11" max="11" width="36" customWidth="1"/>
    <col min="12" max="12" width="34" customWidth="1"/>
    <col min="13" max="13" width="13" customWidth="1"/>
    <col min="14" max="14" width="11" customWidth="1"/>
  </cols>
  <sheetData>
    <row r="1" spans="1:14" s="1" customFormat="1" ht="21.95" customHeight="1" x14ac:dyDescent="0.25">
      <c r="A1" s="2" t="s">
        <v>2</v>
      </c>
      <c r="B1" s="2" t="s">
        <v>0</v>
      </c>
      <c r="C1" s="2" t="s">
        <v>415</v>
      </c>
      <c r="D1" s="2" t="s">
        <v>416</v>
      </c>
      <c r="E1" s="2" t="s">
        <v>417</v>
      </c>
      <c r="F1" s="2" t="s">
        <v>418</v>
      </c>
      <c r="G1" s="2" t="s">
        <v>419</v>
      </c>
      <c r="H1" s="2" t="s">
        <v>420</v>
      </c>
      <c r="I1" s="2" t="s">
        <v>421</v>
      </c>
      <c r="J1" s="2" t="s">
        <v>422</v>
      </c>
      <c r="K1" s="2" t="s">
        <v>423</v>
      </c>
      <c r="L1" s="2" t="s">
        <v>424</v>
      </c>
      <c r="M1" s="2" t="s">
        <v>12</v>
      </c>
      <c r="N1" s="2" t="s">
        <v>14</v>
      </c>
    </row>
    <row r="2" spans="1:14" ht="120" x14ac:dyDescent="0.25">
      <c r="A2" t="s">
        <v>57</v>
      </c>
      <c r="B2" t="s">
        <v>425</v>
      </c>
      <c r="C2" t="s">
        <v>426</v>
      </c>
      <c r="D2" t="s">
        <v>427</v>
      </c>
      <c r="E2" s="3" t="s">
        <v>428</v>
      </c>
      <c r="F2" s="3" t="s">
        <v>429</v>
      </c>
      <c r="G2" t="s">
        <v>430</v>
      </c>
      <c r="H2" t="s">
        <v>431</v>
      </c>
      <c r="I2" s="3" t="s">
        <v>432</v>
      </c>
      <c r="J2" t="s">
        <v>433</v>
      </c>
      <c r="K2" t="s">
        <v>434</v>
      </c>
      <c r="L2" s="3" t="s">
        <v>435</v>
      </c>
      <c r="M2" t="s">
        <v>41</v>
      </c>
      <c r="N2" s="4" t="s">
        <v>61</v>
      </c>
    </row>
    <row r="3" spans="1:14" ht="135" x14ac:dyDescent="0.25">
      <c r="A3" t="s">
        <v>85</v>
      </c>
      <c r="B3" t="s">
        <v>436</v>
      </c>
      <c r="C3" t="s">
        <v>437</v>
      </c>
      <c r="D3" t="s">
        <v>427</v>
      </c>
      <c r="E3" s="3" t="s">
        <v>438</v>
      </c>
      <c r="F3" s="3" t="s">
        <v>439</v>
      </c>
      <c r="G3" t="s">
        <v>85</v>
      </c>
      <c r="H3" t="s">
        <v>438</v>
      </c>
      <c r="I3" s="3" t="s">
        <v>440</v>
      </c>
      <c r="J3" t="s">
        <v>441</v>
      </c>
      <c r="K3" t="s">
        <v>442</v>
      </c>
      <c r="L3" s="3" t="s">
        <v>443</v>
      </c>
      <c r="M3" t="s">
        <v>41</v>
      </c>
      <c r="N3" s="4" t="s">
        <v>89</v>
      </c>
    </row>
    <row r="4" spans="1:14" ht="165" x14ac:dyDescent="0.25">
      <c r="A4" t="s">
        <v>107</v>
      </c>
      <c r="B4" t="s">
        <v>444</v>
      </c>
      <c r="C4" t="s">
        <v>445</v>
      </c>
      <c r="D4" t="s">
        <v>427</v>
      </c>
      <c r="E4" s="3" t="s">
        <v>446</v>
      </c>
      <c r="F4" s="3" t="s">
        <v>447</v>
      </c>
      <c r="G4" t="s">
        <v>448</v>
      </c>
      <c r="H4" t="s">
        <v>449</v>
      </c>
      <c r="I4" s="3" t="s">
        <v>450</v>
      </c>
      <c r="J4" t="s">
        <v>451</v>
      </c>
      <c r="K4" t="s">
        <v>452</v>
      </c>
      <c r="L4" s="3" t="s">
        <v>453</v>
      </c>
      <c r="M4" t="s">
        <v>41</v>
      </c>
      <c r="N4" s="4" t="s">
        <v>111</v>
      </c>
    </row>
    <row r="5" spans="1:14" ht="90" x14ac:dyDescent="0.25">
      <c r="A5" t="s">
        <v>132</v>
      </c>
      <c r="B5" t="s">
        <v>454</v>
      </c>
      <c r="C5" t="s">
        <v>455</v>
      </c>
      <c r="D5" t="s">
        <v>427</v>
      </c>
      <c r="E5" s="3" t="s">
        <v>456</v>
      </c>
      <c r="F5" s="3" t="s">
        <v>457</v>
      </c>
      <c r="G5" t="s">
        <v>132</v>
      </c>
      <c r="H5" t="s">
        <v>458</v>
      </c>
      <c r="I5" s="3" t="s">
        <v>459</v>
      </c>
      <c r="J5" t="s">
        <v>460</v>
      </c>
      <c r="K5" t="s">
        <v>452</v>
      </c>
      <c r="L5" s="3" t="s">
        <v>461</v>
      </c>
      <c r="M5" t="s">
        <v>41</v>
      </c>
      <c r="N5" s="4" t="s">
        <v>136</v>
      </c>
    </row>
    <row r="6" spans="1:14" ht="135" x14ac:dyDescent="0.25">
      <c r="A6" t="s">
        <v>157</v>
      </c>
      <c r="B6" t="s">
        <v>462</v>
      </c>
      <c r="C6" t="s">
        <v>463</v>
      </c>
      <c r="D6" t="s">
        <v>427</v>
      </c>
      <c r="E6" s="3" t="s">
        <v>464</v>
      </c>
      <c r="F6" s="3" t="s">
        <v>465</v>
      </c>
      <c r="G6" t="s">
        <v>466</v>
      </c>
      <c r="H6" t="s">
        <v>467</v>
      </c>
      <c r="I6" s="3" t="s">
        <v>468</v>
      </c>
      <c r="J6" t="s">
        <v>469</v>
      </c>
      <c r="K6" t="s">
        <v>452</v>
      </c>
      <c r="L6" s="3" t="s">
        <v>470</v>
      </c>
      <c r="M6" t="s">
        <v>41</v>
      </c>
      <c r="N6" s="4" t="s">
        <v>161</v>
      </c>
    </row>
    <row r="7" spans="1:14" ht="120" x14ac:dyDescent="0.25">
      <c r="A7" t="s">
        <v>183</v>
      </c>
      <c r="B7" t="s">
        <v>471</v>
      </c>
      <c r="C7" t="s">
        <v>472</v>
      </c>
      <c r="D7" t="s">
        <v>427</v>
      </c>
      <c r="E7" s="3" t="s">
        <v>473</v>
      </c>
      <c r="F7" s="3" t="s">
        <v>474</v>
      </c>
      <c r="G7" t="s">
        <v>475</v>
      </c>
      <c r="H7" t="s">
        <v>476</v>
      </c>
      <c r="I7" s="3" t="s">
        <v>477</v>
      </c>
      <c r="J7" t="s">
        <v>478</v>
      </c>
      <c r="K7" t="s">
        <v>452</v>
      </c>
      <c r="L7" s="3" t="s">
        <v>479</v>
      </c>
      <c r="M7" t="s">
        <v>41</v>
      </c>
      <c r="N7" s="4" t="s">
        <v>187</v>
      </c>
    </row>
    <row r="8" spans="1:14" ht="105" x14ac:dyDescent="0.25">
      <c r="A8" t="s">
        <v>206</v>
      </c>
      <c r="B8" t="s">
        <v>480</v>
      </c>
      <c r="C8" t="s">
        <v>481</v>
      </c>
      <c r="D8" t="s">
        <v>427</v>
      </c>
      <c r="E8" s="3" t="s">
        <v>482</v>
      </c>
      <c r="F8" s="3" t="s">
        <v>483</v>
      </c>
      <c r="G8" t="s">
        <v>484</v>
      </c>
      <c r="H8" t="s">
        <v>485</v>
      </c>
      <c r="I8" s="3" t="s">
        <v>486</v>
      </c>
      <c r="J8" t="s">
        <v>487</v>
      </c>
      <c r="K8" t="s">
        <v>452</v>
      </c>
      <c r="L8" s="3" t="s">
        <v>488</v>
      </c>
      <c r="M8" t="s">
        <v>41</v>
      </c>
      <c r="N8" s="4" t="s">
        <v>210</v>
      </c>
    </row>
    <row r="9" spans="1:14" ht="75" x14ac:dyDescent="0.25">
      <c r="A9" t="s">
        <v>229</v>
      </c>
      <c r="B9" t="s">
        <v>489</v>
      </c>
      <c r="C9" t="s">
        <v>490</v>
      </c>
      <c r="D9" t="s">
        <v>491</v>
      </c>
      <c r="E9" s="3" t="s">
        <v>492</v>
      </c>
      <c r="F9" s="3" t="s">
        <v>493</v>
      </c>
      <c r="G9" t="s">
        <v>229</v>
      </c>
      <c r="H9" t="s">
        <v>494</v>
      </c>
      <c r="I9" s="3" t="s">
        <v>495</v>
      </c>
      <c r="J9" t="s">
        <v>496</v>
      </c>
      <c r="K9" t="s">
        <v>497</v>
      </c>
      <c r="L9" s="3" t="s">
        <v>498</v>
      </c>
      <c r="M9" t="s">
        <v>41</v>
      </c>
      <c r="N9" s="4" t="s">
        <v>233</v>
      </c>
    </row>
    <row r="10" spans="1:14" ht="75" x14ac:dyDescent="0.25">
      <c r="A10" t="s">
        <v>35</v>
      </c>
      <c r="B10" t="s">
        <v>35</v>
      </c>
      <c r="C10" t="s">
        <v>499</v>
      </c>
      <c r="D10" t="s">
        <v>491</v>
      </c>
      <c r="E10" s="3" t="s">
        <v>35</v>
      </c>
      <c r="F10" s="3" t="s">
        <v>500</v>
      </c>
      <c r="G10" t="s">
        <v>35</v>
      </c>
      <c r="H10" t="s">
        <v>501</v>
      </c>
      <c r="I10" s="3" t="s">
        <v>502</v>
      </c>
      <c r="J10" t="s">
        <v>503</v>
      </c>
      <c r="K10" t="s">
        <v>504</v>
      </c>
      <c r="L10" s="3" t="s">
        <v>505</v>
      </c>
      <c r="M10" t="s">
        <v>41</v>
      </c>
      <c r="N10" s="4" t="s">
        <v>42</v>
      </c>
    </row>
    <row r="11" spans="1:14" ht="75" x14ac:dyDescent="0.25">
      <c r="A11" t="s">
        <v>249</v>
      </c>
      <c r="B11" t="s">
        <v>506</v>
      </c>
      <c r="C11" t="s">
        <v>507</v>
      </c>
      <c r="D11" t="s">
        <v>427</v>
      </c>
      <c r="E11" s="3" t="s">
        <v>508</v>
      </c>
      <c r="F11" s="3" t="s">
        <v>509</v>
      </c>
      <c r="G11" t="s">
        <v>249</v>
      </c>
      <c r="H11" t="s">
        <v>510</v>
      </c>
      <c r="I11" s="3" t="s">
        <v>511</v>
      </c>
      <c r="J11" t="s">
        <v>512</v>
      </c>
      <c r="K11" t="s">
        <v>513</v>
      </c>
      <c r="L11" s="3" t="s">
        <v>514</v>
      </c>
      <c r="M11" t="s">
        <v>41</v>
      </c>
      <c r="N11" s="4" t="s">
        <v>253</v>
      </c>
    </row>
    <row r="12" spans="1:14" ht="75" x14ac:dyDescent="0.25">
      <c r="A12" t="s">
        <v>261</v>
      </c>
      <c r="B12" t="s">
        <v>515</v>
      </c>
      <c r="C12" t="s">
        <v>516</v>
      </c>
      <c r="D12" t="s">
        <v>427</v>
      </c>
      <c r="E12" s="3" t="s">
        <v>517</v>
      </c>
      <c r="F12" s="3" t="s">
        <v>518</v>
      </c>
      <c r="G12" t="s">
        <v>261</v>
      </c>
      <c r="H12" t="s">
        <v>519</v>
      </c>
      <c r="I12" s="3" t="s">
        <v>520</v>
      </c>
      <c r="J12" t="s">
        <v>521</v>
      </c>
      <c r="K12" t="s">
        <v>522</v>
      </c>
      <c r="L12" s="3" t="s">
        <v>523</v>
      </c>
      <c r="M12" t="s">
        <v>41</v>
      </c>
      <c r="N12" s="4" t="s">
        <v>265</v>
      </c>
    </row>
    <row r="13" spans="1:14" ht="60" x14ac:dyDescent="0.25">
      <c r="A13" t="s">
        <v>275</v>
      </c>
      <c r="B13" t="s">
        <v>524</v>
      </c>
      <c r="C13" t="s">
        <v>525</v>
      </c>
      <c r="D13" t="s">
        <v>491</v>
      </c>
      <c r="E13" s="3" t="s">
        <v>526</v>
      </c>
      <c r="F13" s="3" t="s">
        <v>527</v>
      </c>
      <c r="G13" t="s">
        <v>275</v>
      </c>
      <c r="H13" t="s">
        <v>526</v>
      </c>
      <c r="I13" s="3" t="s">
        <v>528</v>
      </c>
      <c r="J13" t="s">
        <v>529</v>
      </c>
      <c r="K13" t="s">
        <v>530</v>
      </c>
      <c r="L13" s="3" t="s">
        <v>531</v>
      </c>
      <c r="M13" t="s">
        <v>41</v>
      </c>
      <c r="N13" s="4" t="s">
        <v>279</v>
      </c>
    </row>
    <row r="14" spans="1:14" ht="60" x14ac:dyDescent="0.25">
      <c r="A14" t="s">
        <v>320</v>
      </c>
      <c r="B14" t="s">
        <v>532</v>
      </c>
      <c r="C14" t="s">
        <v>533</v>
      </c>
      <c r="D14" t="s">
        <v>491</v>
      </c>
      <c r="E14" s="3" t="s">
        <v>534</v>
      </c>
      <c r="F14" s="3" t="s">
        <v>535</v>
      </c>
      <c r="G14" t="s">
        <v>320</v>
      </c>
      <c r="H14" t="s">
        <v>534</v>
      </c>
      <c r="I14" s="3" t="s">
        <v>536</v>
      </c>
      <c r="J14" t="s">
        <v>537</v>
      </c>
      <c r="K14" t="s">
        <v>530</v>
      </c>
      <c r="L14" s="3" t="s">
        <v>538</v>
      </c>
      <c r="M14" t="s">
        <v>41</v>
      </c>
      <c r="N14" s="4" t="s">
        <v>279</v>
      </c>
    </row>
    <row r="15" spans="1:14" ht="60" x14ac:dyDescent="0.25">
      <c r="A15" t="s">
        <v>358</v>
      </c>
      <c r="B15" t="s">
        <v>539</v>
      </c>
      <c r="C15" t="s">
        <v>540</v>
      </c>
      <c r="D15" t="s">
        <v>491</v>
      </c>
      <c r="E15" s="3" t="s">
        <v>541</v>
      </c>
      <c r="F15" s="3" t="s">
        <v>542</v>
      </c>
      <c r="G15" t="s">
        <v>358</v>
      </c>
      <c r="H15" t="s">
        <v>541</v>
      </c>
      <c r="I15" s="3" t="s">
        <v>543</v>
      </c>
      <c r="J15" t="s">
        <v>544</v>
      </c>
      <c r="K15" t="s">
        <v>530</v>
      </c>
      <c r="L15" s="3" t="s">
        <v>545</v>
      </c>
      <c r="M15" t="s">
        <v>41</v>
      </c>
      <c r="N15" s="4" t="s">
        <v>279</v>
      </c>
    </row>
    <row r="16" spans="1:14" ht="60" x14ac:dyDescent="0.25">
      <c r="A16" t="s">
        <v>391</v>
      </c>
      <c r="B16" t="s">
        <v>546</v>
      </c>
      <c r="C16" t="s">
        <v>547</v>
      </c>
      <c r="D16" t="s">
        <v>491</v>
      </c>
      <c r="E16" s="3" t="s">
        <v>548</v>
      </c>
      <c r="F16" s="3" t="s">
        <v>549</v>
      </c>
      <c r="G16" t="s">
        <v>391</v>
      </c>
      <c r="H16" t="s">
        <v>548</v>
      </c>
      <c r="I16" s="3" t="s">
        <v>550</v>
      </c>
      <c r="J16" t="s">
        <v>551</v>
      </c>
      <c r="K16" t="s">
        <v>530</v>
      </c>
      <c r="L16" s="3" t="s">
        <v>552</v>
      </c>
      <c r="M16" t="s">
        <v>41</v>
      </c>
      <c r="N16" s="4" t="s">
        <v>279</v>
      </c>
    </row>
    <row r="17" spans="1:14" ht="45" x14ac:dyDescent="0.25">
      <c r="A17" t="s">
        <v>243</v>
      </c>
      <c r="B17" t="s">
        <v>489</v>
      </c>
      <c r="C17" t="s">
        <v>553</v>
      </c>
      <c r="D17" t="s">
        <v>554</v>
      </c>
      <c r="E17" s="3" t="s">
        <v>555</v>
      </c>
      <c r="F17" s="3" t="s">
        <v>555</v>
      </c>
      <c r="G17" t="s">
        <v>555</v>
      </c>
      <c r="H17" t="s">
        <v>556</v>
      </c>
      <c r="I17" s="3" t="s">
        <v>557</v>
      </c>
      <c r="J17" t="s">
        <v>555</v>
      </c>
      <c r="K17" t="s">
        <v>558</v>
      </c>
      <c r="L17" s="3" t="s">
        <v>559</v>
      </c>
      <c r="M17" t="s">
        <v>41</v>
      </c>
      <c r="N17" s="4" t="s">
        <v>233</v>
      </c>
    </row>
  </sheetData>
  <autoFilter ref="A1:N17" xr:uid="{00000000-0009-0000-0000-000001000000}"/>
  <dataValidations count="1">
    <dataValidation type="list" allowBlank="1" sqref="M2:M17" xr:uid="{00000000-0002-0000-0100-000000000000}">
      <formula1>"Not started,Drafted,In review,Client edits,Approved,In CMS"</formula1>
    </dataValidation>
  </dataValidations>
  <hyperlinks>
    <hyperlink ref="N2" r:id="rId1" xr:uid="{00000000-0004-0000-0100-000000000000}"/>
    <hyperlink ref="N3" r:id="rId2" xr:uid="{00000000-0004-0000-0100-000001000000}"/>
    <hyperlink ref="N4" r:id="rId3" xr:uid="{00000000-0004-0000-0100-000002000000}"/>
    <hyperlink ref="N5" r:id="rId4" xr:uid="{00000000-0004-0000-0100-000003000000}"/>
    <hyperlink ref="N6" r:id="rId5" xr:uid="{00000000-0004-0000-0100-000004000000}"/>
    <hyperlink ref="N7" r:id="rId6" xr:uid="{00000000-0004-0000-0100-000005000000}"/>
    <hyperlink ref="N8" r:id="rId7" xr:uid="{00000000-0004-0000-0100-000006000000}"/>
    <hyperlink ref="N9" r:id="rId8" xr:uid="{00000000-0004-0000-0100-000007000000}"/>
    <hyperlink ref="N10" r:id="rId9" xr:uid="{00000000-0004-0000-0100-000008000000}"/>
    <hyperlink ref="N11" r:id="rId10" xr:uid="{00000000-0004-0000-0100-000009000000}"/>
    <hyperlink ref="N12" r:id="rId11" xr:uid="{00000000-0004-0000-0100-00000A000000}"/>
    <hyperlink ref="N13" r:id="rId12" xr:uid="{00000000-0004-0000-0100-00000B000000}"/>
    <hyperlink ref="N14" r:id="rId13" xr:uid="{00000000-0004-0000-0100-00000C000000}"/>
    <hyperlink ref="N15" r:id="rId14" xr:uid="{00000000-0004-0000-0100-00000D000000}"/>
    <hyperlink ref="N16" r:id="rId15" xr:uid="{00000000-0004-0000-0100-00000E000000}"/>
    <hyperlink ref="N17" r:id="rId16" xr:uid="{00000000-0004-0000-0100-00000F000000}"/>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6E43"/>
  </sheetPr>
  <dimension ref="A1:K20"/>
  <sheetViews>
    <sheetView workbookViewId="0"/>
  </sheetViews>
  <sheetFormatPr defaultRowHeight="15" x14ac:dyDescent="0.25"/>
  <cols>
    <col min="1" max="1" width="24" customWidth="1"/>
    <col min="2" max="2" width="7" customWidth="1"/>
    <col min="3" max="5" width="10" customWidth="1"/>
    <col min="6" max="6" width="12" customWidth="1"/>
    <col min="7" max="7" width="10" customWidth="1"/>
    <col min="10" max="10" width="14" customWidth="1"/>
    <col min="11" max="11" width="40" customWidth="1"/>
  </cols>
  <sheetData>
    <row r="1" spans="1:11" s="1" customFormat="1" ht="21.95" customHeight="1" x14ac:dyDescent="0.25">
      <c r="A1" s="2" t="s">
        <v>2</v>
      </c>
      <c r="B1" s="2" t="s">
        <v>0</v>
      </c>
      <c r="C1" s="2" t="s">
        <v>560</v>
      </c>
      <c r="D1" s="2" t="s">
        <v>41</v>
      </c>
      <c r="E1" s="2" t="s">
        <v>561</v>
      </c>
      <c r="F1" s="2" t="s">
        <v>562</v>
      </c>
      <c r="G1" s="2" t="s">
        <v>563</v>
      </c>
      <c r="H1" s="2" t="s">
        <v>564</v>
      </c>
      <c r="I1" s="2" t="s">
        <v>565</v>
      </c>
      <c r="J1" s="2" t="s">
        <v>566</v>
      </c>
      <c r="K1" s="2" t="s">
        <v>567</v>
      </c>
    </row>
    <row r="2" spans="1:11" x14ac:dyDescent="0.25">
      <c r="A2" t="s">
        <v>18</v>
      </c>
      <c r="B2" t="s">
        <v>568</v>
      </c>
      <c r="C2">
        <f>COUNTIF('Section Audit'!$C$2:$C$397,$A2)</f>
        <v>1</v>
      </c>
      <c r="D2">
        <f>COUNTIFS('Section Audit'!$C$2:$C$397,$A2,'Section Audit'!$M$2:$M$397,"Drafted")</f>
        <v>0</v>
      </c>
      <c r="E2">
        <f>COUNTIFS('Section Audit'!$C$2:$C$397,$A2,'Section Audit'!$M$2:$M$397,"In review")</f>
        <v>0</v>
      </c>
      <c r="F2">
        <f>COUNTIFS('Section Audit'!$C$2:$C$397,$A2,'Section Audit'!$M$2:$M$397,"Client edits")</f>
        <v>0</v>
      </c>
      <c r="G2">
        <f>COUNTIFS('Section Audit'!$C$2:$C$397,$A2,'Section Audit'!$M$2:$M$397,"Approved")</f>
        <v>0</v>
      </c>
      <c r="H2">
        <f>COUNTIFS('Section Audit'!$C$2:$C$397,$A2,'Section Audit'!$M$2:$M$397,"In CMS")</f>
        <v>0</v>
      </c>
      <c r="I2" s="5">
        <f t="shared" ref="I2:I20" si="0">IF(C2=0,0,(G2+H2)/C2)</f>
        <v>0</v>
      </c>
    </row>
    <row r="3" spans="1:11" x14ac:dyDescent="0.25">
      <c r="A3" t="s">
        <v>26</v>
      </c>
      <c r="B3" t="s">
        <v>568</v>
      </c>
      <c r="C3">
        <f>COUNTIF('Section Audit'!$C$2:$C$397,$A3)</f>
        <v>1</v>
      </c>
      <c r="D3">
        <f>COUNTIFS('Section Audit'!$C$2:$C$397,$A3,'Section Audit'!$M$2:$M$397,"Drafted")</f>
        <v>0</v>
      </c>
      <c r="E3">
        <f>COUNTIFS('Section Audit'!$C$2:$C$397,$A3,'Section Audit'!$M$2:$M$397,"In review")</f>
        <v>0</v>
      </c>
      <c r="F3">
        <f>COUNTIFS('Section Audit'!$C$2:$C$397,$A3,'Section Audit'!$M$2:$M$397,"Client edits")</f>
        <v>0</v>
      </c>
      <c r="G3">
        <f>COUNTIFS('Section Audit'!$C$2:$C$397,$A3,'Section Audit'!$M$2:$M$397,"Approved")</f>
        <v>0</v>
      </c>
      <c r="H3">
        <f>COUNTIFS('Section Audit'!$C$2:$C$397,$A3,'Section Audit'!$M$2:$M$397,"In CMS")</f>
        <v>0</v>
      </c>
      <c r="I3" s="5">
        <f t="shared" si="0"/>
        <v>0</v>
      </c>
    </row>
    <row r="4" spans="1:11" x14ac:dyDescent="0.25">
      <c r="A4" t="s">
        <v>30</v>
      </c>
      <c r="B4" t="s">
        <v>568</v>
      </c>
      <c r="C4">
        <f>COUNTIF('Section Audit'!$C$2:$C$397,$A4)</f>
        <v>1</v>
      </c>
      <c r="D4">
        <f>COUNTIFS('Section Audit'!$C$2:$C$397,$A4,'Section Audit'!$M$2:$M$397,"Drafted")</f>
        <v>0</v>
      </c>
      <c r="E4">
        <f>COUNTIFS('Section Audit'!$C$2:$C$397,$A4,'Section Audit'!$M$2:$M$397,"In review")</f>
        <v>0</v>
      </c>
      <c r="F4">
        <f>COUNTIFS('Section Audit'!$C$2:$C$397,$A4,'Section Audit'!$M$2:$M$397,"Client edits")</f>
        <v>0</v>
      </c>
      <c r="G4">
        <f>COUNTIFS('Section Audit'!$C$2:$C$397,$A4,'Section Audit'!$M$2:$M$397,"Approved")</f>
        <v>0</v>
      </c>
      <c r="H4">
        <f>COUNTIFS('Section Audit'!$C$2:$C$397,$A4,'Section Audit'!$M$2:$M$397,"In CMS")</f>
        <v>0</v>
      </c>
      <c r="I4" s="5">
        <f t="shared" si="0"/>
        <v>0</v>
      </c>
    </row>
    <row r="5" spans="1:11" x14ac:dyDescent="0.25">
      <c r="A5" t="s">
        <v>57</v>
      </c>
      <c r="B5" t="s">
        <v>425</v>
      </c>
      <c r="C5">
        <f>COUNTIF('Section Audit'!$C$2:$C$397,$A5)</f>
        <v>8</v>
      </c>
      <c r="D5">
        <f>COUNTIFS('Section Audit'!$C$2:$C$397,$A5,'Section Audit'!$M$2:$M$397,"Drafted")</f>
        <v>2</v>
      </c>
      <c r="E5">
        <f>COUNTIFS('Section Audit'!$C$2:$C$397,$A5,'Section Audit'!$M$2:$M$397,"In review")</f>
        <v>0</v>
      </c>
      <c r="F5">
        <f>COUNTIFS('Section Audit'!$C$2:$C$397,$A5,'Section Audit'!$M$2:$M$397,"Client edits")</f>
        <v>0</v>
      </c>
      <c r="G5">
        <f>COUNTIFS('Section Audit'!$C$2:$C$397,$A5,'Section Audit'!$M$2:$M$397,"Approved")</f>
        <v>0</v>
      </c>
      <c r="H5">
        <f>COUNTIFS('Section Audit'!$C$2:$C$397,$A5,'Section Audit'!$M$2:$M$397,"In CMS")</f>
        <v>0</v>
      </c>
      <c r="I5" s="5">
        <f t="shared" si="0"/>
        <v>0</v>
      </c>
    </row>
    <row r="6" spans="1:11" x14ac:dyDescent="0.25">
      <c r="A6" t="s">
        <v>85</v>
      </c>
      <c r="B6" t="s">
        <v>436</v>
      </c>
      <c r="C6">
        <f>COUNTIF('Section Audit'!$C$2:$C$397,$A6)</f>
        <v>6</v>
      </c>
      <c r="D6">
        <f>COUNTIFS('Section Audit'!$C$2:$C$397,$A6,'Section Audit'!$M$2:$M$397,"Drafted")</f>
        <v>2</v>
      </c>
      <c r="E6">
        <f>COUNTIFS('Section Audit'!$C$2:$C$397,$A6,'Section Audit'!$M$2:$M$397,"In review")</f>
        <v>0</v>
      </c>
      <c r="F6">
        <f>COUNTIFS('Section Audit'!$C$2:$C$397,$A6,'Section Audit'!$M$2:$M$397,"Client edits")</f>
        <v>0</v>
      </c>
      <c r="G6">
        <f>COUNTIFS('Section Audit'!$C$2:$C$397,$A6,'Section Audit'!$M$2:$M$397,"Approved")</f>
        <v>0</v>
      </c>
      <c r="H6">
        <f>COUNTIFS('Section Audit'!$C$2:$C$397,$A6,'Section Audit'!$M$2:$M$397,"In CMS")</f>
        <v>0</v>
      </c>
      <c r="I6" s="5">
        <f t="shared" si="0"/>
        <v>0</v>
      </c>
    </row>
    <row r="7" spans="1:11" x14ac:dyDescent="0.25">
      <c r="A7" t="s">
        <v>107</v>
      </c>
      <c r="B7" t="s">
        <v>444</v>
      </c>
      <c r="C7">
        <f>COUNTIF('Section Audit'!$C$2:$C$397,$A7)</f>
        <v>6</v>
      </c>
      <c r="D7">
        <f>COUNTIFS('Section Audit'!$C$2:$C$397,$A7,'Section Audit'!$M$2:$M$397,"Drafted")</f>
        <v>3</v>
      </c>
      <c r="E7">
        <f>COUNTIFS('Section Audit'!$C$2:$C$397,$A7,'Section Audit'!$M$2:$M$397,"In review")</f>
        <v>0</v>
      </c>
      <c r="F7">
        <f>COUNTIFS('Section Audit'!$C$2:$C$397,$A7,'Section Audit'!$M$2:$M$397,"Client edits")</f>
        <v>0</v>
      </c>
      <c r="G7">
        <f>COUNTIFS('Section Audit'!$C$2:$C$397,$A7,'Section Audit'!$M$2:$M$397,"Approved")</f>
        <v>0</v>
      </c>
      <c r="H7">
        <f>COUNTIFS('Section Audit'!$C$2:$C$397,$A7,'Section Audit'!$M$2:$M$397,"In CMS")</f>
        <v>0</v>
      </c>
      <c r="I7" s="5">
        <f t="shared" si="0"/>
        <v>0</v>
      </c>
    </row>
    <row r="8" spans="1:11" x14ac:dyDescent="0.25">
      <c r="A8" t="s">
        <v>132</v>
      </c>
      <c r="B8" t="s">
        <v>454</v>
      </c>
      <c r="C8">
        <f>COUNTIF('Section Audit'!$C$2:$C$397,$A8)</f>
        <v>7</v>
      </c>
      <c r="D8">
        <f>COUNTIFS('Section Audit'!$C$2:$C$397,$A8,'Section Audit'!$M$2:$M$397,"Drafted")</f>
        <v>2</v>
      </c>
      <c r="E8">
        <f>COUNTIFS('Section Audit'!$C$2:$C$397,$A8,'Section Audit'!$M$2:$M$397,"In review")</f>
        <v>0</v>
      </c>
      <c r="F8">
        <f>COUNTIFS('Section Audit'!$C$2:$C$397,$A8,'Section Audit'!$M$2:$M$397,"Client edits")</f>
        <v>0</v>
      </c>
      <c r="G8">
        <f>COUNTIFS('Section Audit'!$C$2:$C$397,$A8,'Section Audit'!$M$2:$M$397,"Approved")</f>
        <v>0</v>
      </c>
      <c r="H8">
        <f>COUNTIFS('Section Audit'!$C$2:$C$397,$A8,'Section Audit'!$M$2:$M$397,"In CMS")</f>
        <v>0</v>
      </c>
      <c r="I8" s="5">
        <f t="shared" si="0"/>
        <v>0</v>
      </c>
    </row>
    <row r="9" spans="1:11" x14ac:dyDescent="0.25">
      <c r="A9" t="s">
        <v>157</v>
      </c>
      <c r="B9" t="s">
        <v>462</v>
      </c>
      <c r="C9">
        <f>COUNTIF('Section Audit'!$C$2:$C$397,$A9)</f>
        <v>7</v>
      </c>
      <c r="D9">
        <f>COUNTIFS('Section Audit'!$C$2:$C$397,$A9,'Section Audit'!$M$2:$M$397,"Drafted")</f>
        <v>2</v>
      </c>
      <c r="E9">
        <f>COUNTIFS('Section Audit'!$C$2:$C$397,$A9,'Section Audit'!$M$2:$M$397,"In review")</f>
        <v>0</v>
      </c>
      <c r="F9">
        <f>COUNTIFS('Section Audit'!$C$2:$C$397,$A9,'Section Audit'!$M$2:$M$397,"Client edits")</f>
        <v>0</v>
      </c>
      <c r="G9">
        <f>COUNTIFS('Section Audit'!$C$2:$C$397,$A9,'Section Audit'!$M$2:$M$397,"Approved")</f>
        <v>0</v>
      </c>
      <c r="H9">
        <f>COUNTIFS('Section Audit'!$C$2:$C$397,$A9,'Section Audit'!$M$2:$M$397,"In CMS")</f>
        <v>0</v>
      </c>
      <c r="I9" s="5">
        <f t="shared" si="0"/>
        <v>0</v>
      </c>
    </row>
    <row r="10" spans="1:11" x14ac:dyDescent="0.25">
      <c r="A10" t="s">
        <v>183</v>
      </c>
      <c r="B10" t="s">
        <v>471</v>
      </c>
      <c r="C10">
        <f>COUNTIF('Section Audit'!$C$2:$C$397,$A10)</f>
        <v>7</v>
      </c>
      <c r="D10">
        <f>COUNTIFS('Section Audit'!$C$2:$C$397,$A10,'Section Audit'!$M$2:$M$397,"Drafted")</f>
        <v>2</v>
      </c>
      <c r="E10">
        <f>COUNTIFS('Section Audit'!$C$2:$C$397,$A10,'Section Audit'!$M$2:$M$397,"In review")</f>
        <v>0</v>
      </c>
      <c r="F10">
        <f>COUNTIFS('Section Audit'!$C$2:$C$397,$A10,'Section Audit'!$M$2:$M$397,"Client edits")</f>
        <v>0</v>
      </c>
      <c r="G10">
        <f>COUNTIFS('Section Audit'!$C$2:$C$397,$A10,'Section Audit'!$M$2:$M$397,"Approved")</f>
        <v>0</v>
      </c>
      <c r="H10">
        <f>COUNTIFS('Section Audit'!$C$2:$C$397,$A10,'Section Audit'!$M$2:$M$397,"In CMS")</f>
        <v>0</v>
      </c>
      <c r="I10" s="5">
        <f t="shared" si="0"/>
        <v>0</v>
      </c>
    </row>
    <row r="11" spans="1:11" x14ac:dyDescent="0.25">
      <c r="A11" t="s">
        <v>206</v>
      </c>
      <c r="B11" t="s">
        <v>480</v>
      </c>
      <c r="C11">
        <f>COUNTIF('Section Audit'!$C$2:$C$397,$A11)</f>
        <v>7</v>
      </c>
      <c r="D11">
        <f>COUNTIFS('Section Audit'!$C$2:$C$397,$A11,'Section Audit'!$M$2:$M$397,"Drafted")</f>
        <v>2</v>
      </c>
      <c r="E11">
        <f>COUNTIFS('Section Audit'!$C$2:$C$397,$A11,'Section Audit'!$M$2:$M$397,"In review")</f>
        <v>0</v>
      </c>
      <c r="F11">
        <f>COUNTIFS('Section Audit'!$C$2:$C$397,$A11,'Section Audit'!$M$2:$M$397,"Client edits")</f>
        <v>0</v>
      </c>
      <c r="G11">
        <f>COUNTIFS('Section Audit'!$C$2:$C$397,$A11,'Section Audit'!$M$2:$M$397,"Approved")</f>
        <v>0</v>
      </c>
      <c r="H11">
        <f>COUNTIFS('Section Audit'!$C$2:$C$397,$A11,'Section Audit'!$M$2:$M$397,"In CMS")</f>
        <v>0</v>
      </c>
      <c r="I11" s="5">
        <f t="shared" si="0"/>
        <v>0</v>
      </c>
    </row>
    <row r="12" spans="1:11" x14ac:dyDescent="0.25">
      <c r="A12" t="s">
        <v>229</v>
      </c>
      <c r="B12" t="s">
        <v>489</v>
      </c>
      <c r="C12">
        <f>COUNTIF('Section Audit'!$C$2:$C$397,$A12)</f>
        <v>4</v>
      </c>
      <c r="D12">
        <f>COUNTIFS('Section Audit'!$C$2:$C$397,$A12,'Section Audit'!$M$2:$M$397,"Drafted")</f>
        <v>2</v>
      </c>
      <c r="E12">
        <f>COUNTIFS('Section Audit'!$C$2:$C$397,$A12,'Section Audit'!$M$2:$M$397,"In review")</f>
        <v>0</v>
      </c>
      <c r="F12">
        <f>COUNTIFS('Section Audit'!$C$2:$C$397,$A12,'Section Audit'!$M$2:$M$397,"Client edits")</f>
        <v>0</v>
      </c>
      <c r="G12">
        <f>COUNTIFS('Section Audit'!$C$2:$C$397,$A12,'Section Audit'!$M$2:$M$397,"Approved")</f>
        <v>0</v>
      </c>
      <c r="H12">
        <f>COUNTIFS('Section Audit'!$C$2:$C$397,$A12,'Section Audit'!$M$2:$M$397,"In CMS")</f>
        <v>0</v>
      </c>
      <c r="I12" s="5">
        <f t="shared" si="0"/>
        <v>0</v>
      </c>
    </row>
    <row r="13" spans="1:11" x14ac:dyDescent="0.25">
      <c r="A13" t="s">
        <v>35</v>
      </c>
      <c r="B13" t="s">
        <v>35</v>
      </c>
      <c r="C13">
        <f>COUNTIF('Section Audit'!$C$2:$C$397,$A13)</f>
        <v>4</v>
      </c>
      <c r="D13">
        <f>COUNTIFS('Section Audit'!$C$2:$C$397,$A13,'Section Audit'!$M$2:$M$397,"Drafted")</f>
        <v>2</v>
      </c>
      <c r="E13">
        <f>COUNTIFS('Section Audit'!$C$2:$C$397,$A13,'Section Audit'!$M$2:$M$397,"In review")</f>
        <v>0</v>
      </c>
      <c r="F13">
        <f>COUNTIFS('Section Audit'!$C$2:$C$397,$A13,'Section Audit'!$M$2:$M$397,"Client edits")</f>
        <v>0</v>
      </c>
      <c r="G13">
        <f>COUNTIFS('Section Audit'!$C$2:$C$397,$A13,'Section Audit'!$M$2:$M$397,"Approved")</f>
        <v>0</v>
      </c>
      <c r="H13">
        <f>COUNTIFS('Section Audit'!$C$2:$C$397,$A13,'Section Audit'!$M$2:$M$397,"In CMS")</f>
        <v>0</v>
      </c>
      <c r="I13" s="5">
        <f t="shared" si="0"/>
        <v>0</v>
      </c>
    </row>
    <row r="14" spans="1:11" x14ac:dyDescent="0.25">
      <c r="A14" t="s">
        <v>249</v>
      </c>
      <c r="B14" t="s">
        <v>506</v>
      </c>
      <c r="C14">
        <f>COUNTIF('Section Audit'!$C$2:$C$397,$A14)</f>
        <v>2</v>
      </c>
      <c r="D14">
        <f>COUNTIFS('Section Audit'!$C$2:$C$397,$A14,'Section Audit'!$M$2:$M$397,"Drafted")</f>
        <v>2</v>
      </c>
      <c r="E14">
        <f>COUNTIFS('Section Audit'!$C$2:$C$397,$A14,'Section Audit'!$M$2:$M$397,"In review")</f>
        <v>0</v>
      </c>
      <c r="F14">
        <f>COUNTIFS('Section Audit'!$C$2:$C$397,$A14,'Section Audit'!$M$2:$M$397,"Client edits")</f>
        <v>0</v>
      </c>
      <c r="G14">
        <f>COUNTIFS('Section Audit'!$C$2:$C$397,$A14,'Section Audit'!$M$2:$M$397,"Approved")</f>
        <v>0</v>
      </c>
      <c r="H14">
        <f>COUNTIFS('Section Audit'!$C$2:$C$397,$A14,'Section Audit'!$M$2:$M$397,"In CMS")</f>
        <v>0</v>
      </c>
      <c r="I14" s="5">
        <f t="shared" si="0"/>
        <v>0</v>
      </c>
    </row>
    <row r="15" spans="1:11" x14ac:dyDescent="0.25">
      <c r="A15" t="s">
        <v>261</v>
      </c>
      <c r="B15" t="s">
        <v>515</v>
      </c>
      <c r="C15">
        <f>COUNTIF('Section Audit'!$C$2:$C$397,$A15)</f>
        <v>3</v>
      </c>
      <c r="D15">
        <f>COUNTIFS('Section Audit'!$C$2:$C$397,$A15,'Section Audit'!$M$2:$M$397,"Drafted")</f>
        <v>2</v>
      </c>
      <c r="E15">
        <f>COUNTIFS('Section Audit'!$C$2:$C$397,$A15,'Section Audit'!$M$2:$M$397,"In review")</f>
        <v>0</v>
      </c>
      <c r="F15">
        <f>COUNTIFS('Section Audit'!$C$2:$C$397,$A15,'Section Audit'!$M$2:$M$397,"Client edits")</f>
        <v>0</v>
      </c>
      <c r="G15">
        <f>COUNTIFS('Section Audit'!$C$2:$C$397,$A15,'Section Audit'!$M$2:$M$397,"Approved")</f>
        <v>0</v>
      </c>
      <c r="H15">
        <f>COUNTIFS('Section Audit'!$C$2:$C$397,$A15,'Section Audit'!$M$2:$M$397,"In CMS")</f>
        <v>0</v>
      </c>
      <c r="I15" s="5">
        <f t="shared" si="0"/>
        <v>0</v>
      </c>
    </row>
    <row r="16" spans="1:11" x14ac:dyDescent="0.25">
      <c r="A16" t="s">
        <v>275</v>
      </c>
      <c r="B16" t="s">
        <v>524</v>
      </c>
      <c r="C16">
        <f>COUNTIF('Section Audit'!$C$2:$C$397,$A16)</f>
        <v>14</v>
      </c>
      <c r="D16">
        <f>COUNTIFS('Section Audit'!$C$2:$C$397,$A16,'Section Audit'!$M$2:$M$397,"Drafted")</f>
        <v>1</v>
      </c>
      <c r="E16">
        <f>COUNTIFS('Section Audit'!$C$2:$C$397,$A16,'Section Audit'!$M$2:$M$397,"In review")</f>
        <v>0</v>
      </c>
      <c r="F16">
        <f>COUNTIFS('Section Audit'!$C$2:$C$397,$A16,'Section Audit'!$M$2:$M$397,"Client edits")</f>
        <v>0</v>
      </c>
      <c r="G16">
        <f>COUNTIFS('Section Audit'!$C$2:$C$397,$A16,'Section Audit'!$M$2:$M$397,"Approved")</f>
        <v>0</v>
      </c>
      <c r="H16">
        <f>COUNTIFS('Section Audit'!$C$2:$C$397,$A16,'Section Audit'!$M$2:$M$397,"In CMS")</f>
        <v>0</v>
      </c>
      <c r="I16" s="5">
        <f t="shared" si="0"/>
        <v>0</v>
      </c>
    </row>
    <row r="17" spans="1:9" x14ac:dyDescent="0.25">
      <c r="A17" t="s">
        <v>320</v>
      </c>
      <c r="B17" t="s">
        <v>532</v>
      </c>
      <c r="C17">
        <f>COUNTIF('Section Audit'!$C$2:$C$397,$A17)</f>
        <v>12</v>
      </c>
      <c r="D17">
        <f>COUNTIFS('Section Audit'!$C$2:$C$397,$A17,'Section Audit'!$M$2:$M$397,"Drafted")</f>
        <v>1</v>
      </c>
      <c r="E17">
        <f>COUNTIFS('Section Audit'!$C$2:$C$397,$A17,'Section Audit'!$M$2:$M$397,"In review")</f>
        <v>0</v>
      </c>
      <c r="F17">
        <f>COUNTIFS('Section Audit'!$C$2:$C$397,$A17,'Section Audit'!$M$2:$M$397,"Client edits")</f>
        <v>0</v>
      </c>
      <c r="G17">
        <f>COUNTIFS('Section Audit'!$C$2:$C$397,$A17,'Section Audit'!$M$2:$M$397,"Approved")</f>
        <v>0</v>
      </c>
      <c r="H17">
        <f>COUNTIFS('Section Audit'!$C$2:$C$397,$A17,'Section Audit'!$M$2:$M$397,"In CMS")</f>
        <v>0</v>
      </c>
      <c r="I17" s="5">
        <f t="shared" si="0"/>
        <v>0</v>
      </c>
    </row>
    <row r="18" spans="1:9" x14ac:dyDescent="0.25">
      <c r="A18" t="s">
        <v>358</v>
      </c>
      <c r="B18" t="s">
        <v>539</v>
      </c>
      <c r="C18">
        <f>COUNTIF('Section Audit'!$C$2:$C$397,$A18)</f>
        <v>11</v>
      </c>
      <c r="D18">
        <f>COUNTIFS('Section Audit'!$C$2:$C$397,$A18,'Section Audit'!$M$2:$M$397,"Drafted")</f>
        <v>1</v>
      </c>
      <c r="E18">
        <f>COUNTIFS('Section Audit'!$C$2:$C$397,$A18,'Section Audit'!$M$2:$M$397,"In review")</f>
        <v>0</v>
      </c>
      <c r="F18">
        <f>COUNTIFS('Section Audit'!$C$2:$C$397,$A18,'Section Audit'!$M$2:$M$397,"Client edits")</f>
        <v>0</v>
      </c>
      <c r="G18">
        <f>COUNTIFS('Section Audit'!$C$2:$C$397,$A18,'Section Audit'!$M$2:$M$397,"Approved")</f>
        <v>0</v>
      </c>
      <c r="H18">
        <f>COUNTIFS('Section Audit'!$C$2:$C$397,$A18,'Section Audit'!$M$2:$M$397,"In CMS")</f>
        <v>0</v>
      </c>
      <c r="I18" s="5">
        <f t="shared" si="0"/>
        <v>0</v>
      </c>
    </row>
    <row r="19" spans="1:9" x14ac:dyDescent="0.25">
      <c r="A19" t="s">
        <v>391</v>
      </c>
      <c r="B19" t="s">
        <v>546</v>
      </c>
      <c r="C19">
        <f>COUNTIF('Section Audit'!$C$2:$C$397,$A19)</f>
        <v>8</v>
      </c>
      <c r="D19">
        <f>COUNTIFS('Section Audit'!$C$2:$C$397,$A19,'Section Audit'!$M$2:$M$397,"Drafted")</f>
        <v>1</v>
      </c>
      <c r="E19">
        <f>COUNTIFS('Section Audit'!$C$2:$C$397,$A19,'Section Audit'!$M$2:$M$397,"In review")</f>
        <v>0</v>
      </c>
      <c r="F19">
        <f>COUNTIFS('Section Audit'!$C$2:$C$397,$A19,'Section Audit'!$M$2:$M$397,"Client edits")</f>
        <v>0</v>
      </c>
      <c r="G19">
        <f>COUNTIFS('Section Audit'!$C$2:$C$397,$A19,'Section Audit'!$M$2:$M$397,"Approved")</f>
        <v>0</v>
      </c>
      <c r="H19">
        <f>COUNTIFS('Section Audit'!$C$2:$C$397,$A19,'Section Audit'!$M$2:$M$397,"In CMS")</f>
        <v>0</v>
      </c>
      <c r="I19" s="5">
        <f t="shared" si="0"/>
        <v>0</v>
      </c>
    </row>
    <row r="20" spans="1:9" x14ac:dyDescent="0.25">
      <c r="A20" t="s">
        <v>243</v>
      </c>
      <c r="B20" t="s">
        <v>489</v>
      </c>
      <c r="C20">
        <f>COUNTIF('Section Audit'!$C$2:$C$397,$A20)</f>
        <v>1</v>
      </c>
      <c r="D20">
        <f>COUNTIFS('Section Audit'!$C$2:$C$397,$A20,'Section Audit'!$M$2:$M$397,"Drafted")</f>
        <v>0</v>
      </c>
      <c r="E20">
        <f>COUNTIFS('Section Audit'!$C$2:$C$397,$A20,'Section Audit'!$M$2:$M$397,"In review")</f>
        <v>0</v>
      </c>
      <c r="F20">
        <f>COUNTIFS('Section Audit'!$C$2:$C$397,$A20,'Section Audit'!$M$2:$M$397,"Client edits")</f>
        <v>0</v>
      </c>
      <c r="G20">
        <f>COUNTIFS('Section Audit'!$C$2:$C$397,$A20,'Section Audit'!$M$2:$M$397,"Approved")</f>
        <v>0</v>
      </c>
      <c r="H20">
        <f>COUNTIFS('Section Audit'!$C$2:$C$397,$A20,'Section Audit'!$M$2:$M$397,"In CMS")</f>
        <v>0</v>
      </c>
      <c r="I20" s="5">
        <f t="shared" si="0"/>
        <v>0</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66666"/>
  </sheetPr>
  <dimension ref="A1:B46"/>
  <sheetViews>
    <sheetView workbookViewId="0"/>
  </sheetViews>
  <sheetFormatPr defaultRowHeight="15" x14ac:dyDescent="0.25"/>
  <cols>
    <col min="1" max="1" width="16" customWidth="1"/>
    <col min="2" max="2" width="110" style="3" customWidth="1"/>
  </cols>
  <sheetData>
    <row r="1" spans="1:2" s="6" customFormat="1" ht="17.25" x14ac:dyDescent="0.3">
      <c r="A1" s="6" t="s">
        <v>569</v>
      </c>
      <c r="B1" s="7" t="s">
        <v>24</v>
      </c>
    </row>
    <row r="2" spans="1:2" x14ac:dyDescent="0.25">
      <c r="A2" t="s">
        <v>24</v>
      </c>
      <c r="B2" s="3" t="s">
        <v>24</v>
      </c>
    </row>
    <row r="3" spans="1:2" s="8" customFormat="1" x14ac:dyDescent="0.25">
      <c r="A3" s="8" t="s">
        <v>570</v>
      </c>
      <c r="B3" s="9" t="s">
        <v>24</v>
      </c>
    </row>
    <row r="4" spans="1:2" x14ac:dyDescent="0.25">
      <c r="A4" t="s">
        <v>22</v>
      </c>
      <c r="B4" s="3" t="s">
        <v>571</v>
      </c>
    </row>
    <row r="5" spans="1:2" x14ac:dyDescent="0.25">
      <c r="A5" t="s">
        <v>41</v>
      </c>
      <c r="B5" s="3" t="s">
        <v>572</v>
      </c>
    </row>
    <row r="6" spans="1:2" x14ac:dyDescent="0.25">
      <c r="A6" t="s">
        <v>561</v>
      </c>
      <c r="B6" s="3" t="s">
        <v>573</v>
      </c>
    </row>
    <row r="7" spans="1:2" x14ac:dyDescent="0.25">
      <c r="A7" t="s">
        <v>562</v>
      </c>
      <c r="B7" s="3" t="s">
        <v>574</v>
      </c>
    </row>
    <row r="8" spans="1:2" x14ac:dyDescent="0.25">
      <c r="A8" t="s">
        <v>563</v>
      </c>
      <c r="B8" s="3" t="s">
        <v>575</v>
      </c>
    </row>
    <row r="9" spans="1:2" x14ac:dyDescent="0.25">
      <c r="A9" t="s">
        <v>564</v>
      </c>
      <c r="B9" s="3" t="s">
        <v>576</v>
      </c>
    </row>
    <row r="10" spans="1:2" x14ac:dyDescent="0.25">
      <c r="A10" t="s">
        <v>24</v>
      </c>
      <c r="B10" s="3" t="s">
        <v>24</v>
      </c>
    </row>
    <row r="11" spans="1:2" s="8" customFormat="1" x14ac:dyDescent="0.25">
      <c r="A11" s="8" t="s">
        <v>577</v>
      </c>
      <c r="B11" s="9" t="s">
        <v>24</v>
      </c>
    </row>
    <row r="12" spans="1:2" ht="30" x14ac:dyDescent="0.25">
      <c r="A12" t="s">
        <v>578</v>
      </c>
      <c r="B12" s="3" t="s">
        <v>579</v>
      </c>
    </row>
    <row r="13" spans="1:2" x14ac:dyDescent="0.25">
      <c r="A13" t="s">
        <v>580</v>
      </c>
      <c r="B13" s="3" t="s">
        <v>581</v>
      </c>
    </row>
    <row r="14" spans="1:2" x14ac:dyDescent="0.25">
      <c r="A14" t="s">
        <v>582</v>
      </c>
      <c r="B14" s="3" t="s">
        <v>583</v>
      </c>
    </row>
    <row r="15" spans="1:2" x14ac:dyDescent="0.25">
      <c r="A15" t="s">
        <v>584</v>
      </c>
      <c r="B15" s="3" t="s">
        <v>585</v>
      </c>
    </row>
    <row r="16" spans="1:2" x14ac:dyDescent="0.25">
      <c r="A16" t="s">
        <v>586</v>
      </c>
      <c r="B16" s="3" t="s">
        <v>587</v>
      </c>
    </row>
    <row r="17" spans="1:2" x14ac:dyDescent="0.25">
      <c r="A17" t="s">
        <v>588</v>
      </c>
      <c r="B17" s="3" t="s">
        <v>589</v>
      </c>
    </row>
    <row r="18" spans="1:2" x14ac:dyDescent="0.25">
      <c r="A18" t="s">
        <v>24</v>
      </c>
      <c r="B18" s="3" t="s">
        <v>24</v>
      </c>
    </row>
    <row r="19" spans="1:2" s="8" customFormat="1" x14ac:dyDescent="0.25">
      <c r="A19" s="8" t="s">
        <v>590</v>
      </c>
      <c r="B19" s="9" t="s">
        <v>24</v>
      </c>
    </row>
    <row r="20" spans="1:2" x14ac:dyDescent="0.25">
      <c r="A20" t="s">
        <v>568</v>
      </c>
      <c r="B20" s="3" t="s">
        <v>591</v>
      </c>
    </row>
    <row r="21" spans="1:2" x14ac:dyDescent="0.25">
      <c r="A21" t="s">
        <v>425</v>
      </c>
      <c r="B21" s="3" t="s">
        <v>592</v>
      </c>
    </row>
    <row r="22" spans="1:2" x14ac:dyDescent="0.25">
      <c r="A22" t="s">
        <v>436</v>
      </c>
      <c r="B22" s="3" t="s">
        <v>593</v>
      </c>
    </row>
    <row r="23" spans="1:2" x14ac:dyDescent="0.25">
      <c r="A23" t="s">
        <v>444</v>
      </c>
      <c r="B23" s="3" t="s">
        <v>594</v>
      </c>
    </row>
    <row r="24" spans="1:2" x14ac:dyDescent="0.25">
      <c r="A24" t="s">
        <v>454</v>
      </c>
      <c r="B24" s="3" t="s">
        <v>595</v>
      </c>
    </row>
    <row r="25" spans="1:2" x14ac:dyDescent="0.25">
      <c r="A25" t="s">
        <v>462</v>
      </c>
      <c r="B25" s="3" t="s">
        <v>596</v>
      </c>
    </row>
    <row r="26" spans="1:2" x14ac:dyDescent="0.25">
      <c r="A26" t="s">
        <v>471</v>
      </c>
      <c r="B26" s="3" t="s">
        <v>597</v>
      </c>
    </row>
    <row r="27" spans="1:2" x14ac:dyDescent="0.25">
      <c r="A27" t="s">
        <v>480</v>
      </c>
      <c r="B27" s="3" t="s">
        <v>598</v>
      </c>
    </row>
    <row r="28" spans="1:2" x14ac:dyDescent="0.25">
      <c r="A28" t="s">
        <v>489</v>
      </c>
      <c r="B28" s="3" t="s">
        <v>599</v>
      </c>
    </row>
    <row r="29" spans="1:2" x14ac:dyDescent="0.25">
      <c r="A29" t="s">
        <v>35</v>
      </c>
      <c r="B29" s="3" t="s">
        <v>600</v>
      </c>
    </row>
    <row r="30" spans="1:2" x14ac:dyDescent="0.25">
      <c r="A30" t="s">
        <v>506</v>
      </c>
      <c r="B30" s="3" t="s">
        <v>601</v>
      </c>
    </row>
    <row r="31" spans="1:2" x14ac:dyDescent="0.25">
      <c r="A31" t="s">
        <v>515</v>
      </c>
      <c r="B31" s="3" t="s">
        <v>602</v>
      </c>
    </row>
    <row r="32" spans="1:2" x14ac:dyDescent="0.25">
      <c r="A32" t="s">
        <v>603</v>
      </c>
      <c r="B32" s="3" t="s">
        <v>604</v>
      </c>
    </row>
    <row r="33" spans="1:2" x14ac:dyDescent="0.25">
      <c r="A33" t="s">
        <v>24</v>
      </c>
      <c r="B33" s="3" t="s">
        <v>24</v>
      </c>
    </row>
    <row r="34" spans="1:2" s="8" customFormat="1" x14ac:dyDescent="0.25">
      <c r="A34" s="8" t="s">
        <v>605</v>
      </c>
      <c r="B34" s="9" t="s">
        <v>24</v>
      </c>
    </row>
    <row r="35" spans="1:2" ht="45" x14ac:dyDescent="0.25">
      <c r="A35" t="s">
        <v>606</v>
      </c>
      <c r="B35" s="3" t="s">
        <v>607</v>
      </c>
    </row>
    <row r="36" spans="1:2" x14ac:dyDescent="0.25">
      <c r="A36" t="s">
        <v>24</v>
      </c>
      <c r="B36" s="3" t="s">
        <v>24</v>
      </c>
    </row>
    <row r="37" spans="1:2" s="8" customFormat="1" x14ac:dyDescent="0.25">
      <c r="A37" s="8" t="s">
        <v>608</v>
      </c>
      <c r="B37" s="9" t="s">
        <v>24</v>
      </c>
    </row>
    <row r="38" spans="1:2" x14ac:dyDescent="0.25">
      <c r="A38" t="s">
        <v>609</v>
      </c>
      <c r="B38" s="3" t="s">
        <v>610</v>
      </c>
    </row>
    <row r="39" spans="1:2" x14ac:dyDescent="0.25">
      <c r="A39" t="s">
        <v>11</v>
      </c>
      <c r="B39" s="3" t="s">
        <v>611</v>
      </c>
    </row>
    <row r="40" spans="1:2" ht="30" x14ac:dyDescent="0.25">
      <c r="A40" t="s">
        <v>612</v>
      </c>
      <c r="B40" s="3" t="s">
        <v>613</v>
      </c>
    </row>
    <row r="41" spans="1:2" x14ac:dyDescent="0.25">
      <c r="A41" t="s">
        <v>24</v>
      </c>
      <c r="B41" s="3" t="s">
        <v>24</v>
      </c>
    </row>
    <row r="42" spans="1:2" s="8" customFormat="1" x14ac:dyDescent="0.25">
      <c r="A42" s="8" t="s">
        <v>614</v>
      </c>
      <c r="B42" s="9" t="s">
        <v>24</v>
      </c>
    </row>
    <row r="43" spans="1:2" x14ac:dyDescent="0.25">
      <c r="A43" t="s">
        <v>615</v>
      </c>
      <c r="B43" s="3" t="s">
        <v>616</v>
      </c>
    </row>
    <row r="44" spans="1:2" ht="30" x14ac:dyDescent="0.25">
      <c r="A44" t="s">
        <v>35</v>
      </c>
      <c r="B44" s="3" t="s">
        <v>617</v>
      </c>
    </row>
    <row r="45" spans="1:2" ht="30" x14ac:dyDescent="0.25">
      <c r="A45" t="s">
        <v>618</v>
      </c>
      <c r="B45" s="3" t="s">
        <v>619</v>
      </c>
    </row>
    <row r="46" spans="1:2" x14ac:dyDescent="0.25">
      <c r="A46" t="s">
        <v>620</v>
      </c>
      <c r="B46" s="3" t="s">
        <v>621</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Section Audit</vt:lpstr>
      <vt:lpstr>Page SEO</vt:lpstr>
      <vt:lpstr>Dashboard</vt:lpstr>
      <vt:lpstr>Reference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2026-09-10T23:25:17Z</dcterms:created>
  <dcterms:modified xsi:type="dcterms:W3CDTF">2026-09-10T23:31:33Z</dcterms:modified>
  <cp:category/>
</cp:coreProperties>
</file>